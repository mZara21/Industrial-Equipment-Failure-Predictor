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z\Desktop\isec\2 ANO\2SEM\CR\TP\"/>
    </mc:Choice>
  </mc:AlternateContent>
  <xr:revisionPtr revIDLastSave="0" documentId="13_ncr:1_{FD5266B4-FF5A-4F86-AE89-F374C00C6036}" xr6:coauthVersionLast="47" xr6:coauthVersionMax="47" xr10:uidLastSave="{00000000-0000-0000-0000-000000000000}"/>
  <bookViews>
    <workbookView xWindow="-108" yWindow="-108" windowWidth="23256" windowHeight="12456" activeTab="1" xr2:uid="{20873865-4DC6-4135-BF14-30F24541D406}"/>
  </bookViews>
  <sheets>
    <sheet name="CBR - Estudo" sheetId="4" r:id="rId1"/>
    <sheet name="RN - Estudo Geral" sheetId="1" r:id="rId2"/>
    <sheet name="RN - Normalizacao" sheetId="2" r:id="rId3"/>
    <sheet name="RN - 3 Melhores Tes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7" i="2" l="1"/>
  <c r="I16" i="2"/>
  <c r="I15" i="2"/>
  <c r="I14" i="2"/>
  <c r="I13" i="2"/>
  <c r="I12" i="2"/>
  <c r="I9" i="2"/>
  <c r="I8" i="2"/>
  <c r="I7" i="2"/>
  <c r="I6" i="2"/>
  <c r="I5" i="2"/>
  <c r="I4" i="2"/>
  <c r="I7" i="1"/>
  <c r="I8" i="1"/>
  <c r="I9" i="1"/>
  <c r="I10" i="1"/>
  <c r="I13" i="1"/>
  <c r="I14" i="1"/>
  <c r="I15" i="1"/>
  <c r="I16" i="1"/>
  <c r="I17" i="1"/>
  <c r="I18" i="1"/>
  <c r="I21" i="1"/>
  <c r="I22" i="1"/>
  <c r="I23" i="1"/>
  <c r="I24" i="1"/>
  <c r="I25" i="1"/>
  <c r="I28" i="1"/>
  <c r="I29" i="1"/>
  <c r="I4" i="1"/>
  <c r="A4" i="1" l="1"/>
  <c r="A28" i="1"/>
  <c r="A7" i="1"/>
  <c r="A8" i="1"/>
  <c r="A9" i="1"/>
  <c r="A10" i="1"/>
  <c r="A13" i="1"/>
  <c r="A15" i="1"/>
  <c r="A16" i="1"/>
  <c r="A17" i="1"/>
  <c r="A25" i="1"/>
  <c r="A14" i="1"/>
  <c r="A29" i="1"/>
  <c r="A18" i="1"/>
  <c r="A21" i="1"/>
  <c r="A22" i="1"/>
  <c r="A23" i="1"/>
  <c r="A24" i="1"/>
</calcChain>
</file>

<file path=xl/sharedStrings.xml><?xml version="1.0" encoding="utf-8"?>
<sst xmlns="http://schemas.openxmlformats.org/spreadsheetml/2006/main" count="193" uniqueCount="65">
  <si>
    <t>Topologia</t>
  </si>
  <si>
    <t>Acc Global</t>
  </si>
  <si>
    <t>Acc Teste</t>
  </si>
  <si>
    <t>[5]</t>
  </si>
  <si>
    <t>trainlm</t>
  </si>
  <si>
    <t>purelin</t>
  </si>
  <si>
    <t>70/15/15</t>
  </si>
  <si>
    <t>[2]</t>
  </si>
  <si>
    <t>[50]</t>
  </si>
  <si>
    <t>[10 10 10]</t>
  </si>
  <si>
    <t>trainbr</t>
  </si>
  <si>
    <t>traingd</t>
  </si>
  <si>
    <t>traingdx</t>
  </si>
  <si>
    <t>trainrp</t>
  </si>
  <si>
    <t>trainoss</t>
  </si>
  <si>
    <t>hardlim</t>
  </si>
  <si>
    <t>satlin</t>
  </si>
  <si>
    <t>poslin</t>
  </si>
  <si>
    <t>radbas</t>
  </si>
  <si>
    <t>netinv</t>
  </si>
  <si>
    <t>05/45/50</t>
  </si>
  <si>
    <t>90/05/05</t>
  </si>
  <si>
    <t>Numero de Camadas Escondidas</t>
  </si>
  <si>
    <t>Observações</t>
  </si>
  <si>
    <t>A Topologia (Camadas e Neurónios) influencia o desempenho?</t>
  </si>
  <si>
    <t>Caso Base</t>
  </si>
  <si>
    <t>O Algoritmo de Treino influencia o desempenho?</t>
  </si>
  <si>
    <t>Função de Ativação na Saída influencia o desempenho?</t>
  </si>
  <si>
    <t>Função de Ativação da Saída</t>
  </si>
  <si>
    <t>A Proporção de Dados de Treino influencia a generalização?</t>
  </si>
  <si>
    <t>Ranking</t>
  </si>
  <si>
    <t>Pontuação</t>
  </si>
  <si>
    <t>Função de Treino</t>
  </si>
  <si>
    <t xml:space="preserve">trainbfg </t>
  </si>
  <si>
    <t>[10 5 3]</t>
  </si>
  <si>
    <t>Estudo Geral com Diversas Configurações - 18 Configurações no Total</t>
  </si>
  <si>
    <t>Divisão</t>
  </si>
  <si>
    <t>Dataset Normalizado</t>
  </si>
  <si>
    <t>Dataset Não Normalizado</t>
  </si>
  <si>
    <t>Estudo com 3 Melhores Configurações com dataset teste</t>
  </si>
  <si>
    <t>Rank</t>
  </si>
  <si>
    <t>Prec.Global</t>
  </si>
  <si>
    <t>Anteriormente no treino</t>
  </si>
  <si>
    <t>Prec. Global</t>
  </si>
  <si>
    <t>Prec. Teste</t>
  </si>
  <si>
    <t>Vibration</t>
  </si>
  <si>
    <t>Rotation Speed</t>
  </si>
  <si>
    <t>Voltage</t>
  </si>
  <si>
    <t>Current</t>
  </si>
  <si>
    <t>Pressure</t>
  </si>
  <si>
    <t>Noise Level</t>
  </si>
  <si>
    <t>Efficiency</t>
  </si>
  <si>
    <t>Load Value</t>
  </si>
  <si>
    <t>Torque</t>
  </si>
  <si>
    <t>Maintenance Level</t>
  </si>
  <si>
    <t>Operating Mode</t>
  </si>
  <si>
    <t>Cooling Type</t>
  </si>
  <si>
    <t>Sensor Status</t>
  </si>
  <si>
    <t>Temperature</t>
  </si>
  <si>
    <t>Estudo Geral CBR com 3 Configurações de Pesos e Normalização vs Não Normalização</t>
  </si>
  <si>
    <t>Testes - Normalização vs Não Normalizacação</t>
  </si>
  <si>
    <t>Normalizado</t>
  </si>
  <si>
    <t>Não Normalizado</t>
  </si>
  <si>
    <t>Testes - 3 Configurações de Pesos</t>
  </si>
  <si>
    <t>Demora muito tempo a terminar.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</si>
</sst>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2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1"/>
      <name val="Arial"/>
      <family val="2"/>
    </font>
    <font>
      <b/>
      <sz val="11"/>
      <color theme="0"/>
      <name val="Arial"/>
      <family val="2"/>
    </font>
    <font>
      <b/>
      <sz val="14"/>
      <color theme="0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CD9"/>
        <bgColor indexed="64"/>
      </patternFill>
    </fill>
    <fill>
      <patternFill patternType="solid">
        <fgColor rgb="FF2C7BCA"/>
        <bgColor indexed="64"/>
      </patternFill>
    </fill>
    <fill>
      <patternFill patternType="solid">
        <fgColor theme="3" tint="0.74999237037263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 applyAlignment="1">
      <alignment horizontal="center" vertical="center" wrapText="1" readingOrder="1"/>
    </xf>
    <xf numFmtId="0" fontId="0" fillId="0" borderId="4" xfId="0" applyBorder="1"/>
    <xf numFmtId="0" fontId="0" fillId="0" borderId="7" xfId="0" applyBorder="1"/>
    <xf numFmtId="0" fontId="0" fillId="0" borderId="9" xfId="0" applyBorder="1"/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 wrapText="1" readingOrder="1"/>
    </xf>
    <xf numFmtId="0" fontId="1" fillId="0" borderId="8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 wrapText="1" readingOrder="1"/>
    </xf>
    <xf numFmtId="0" fontId="0" fillId="0" borderId="6" xfId="0" applyBorder="1"/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4" borderId="4" xfId="0" applyFont="1" applyFill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 wrapText="1" readingOrder="1"/>
    </xf>
    <xf numFmtId="164" fontId="3" fillId="5" borderId="14" xfId="0" applyNumberFormat="1" applyFont="1" applyFill="1" applyBorder="1" applyAlignment="1">
      <alignment horizontal="center" vertical="center" wrapText="1" readingOrder="1"/>
    </xf>
    <xf numFmtId="164" fontId="3" fillId="5" borderId="13" xfId="0" applyNumberFormat="1" applyFont="1" applyFill="1" applyBorder="1" applyAlignment="1">
      <alignment horizontal="center" vertical="center" wrapText="1" readingOrder="1"/>
    </xf>
    <xf numFmtId="164" fontId="0" fillId="0" borderId="0" xfId="0" applyNumberFormat="1" applyAlignment="1">
      <alignment vertical="center"/>
    </xf>
    <xf numFmtId="164" fontId="1" fillId="0" borderId="10" xfId="0" applyNumberFormat="1" applyFont="1" applyBorder="1" applyAlignment="1">
      <alignment horizontal="center" vertical="center" wrapText="1" readingOrder="1"/>
    </xf>
    <xf numFmtId="164" fontId="1" fillId="0" borderId="11" xfId="0" applyNumberFormat="1" applyFont="1" applyBorder="1" applyAlignment="1">
      <alignment horizontal="center" vertical="center" wrapText="1" readingOrder="1"/>
    </xf>
    <xf numFmtId="164" fontId="1" fillId="0" borderId="12" xfId="0" applyNumberFormat="1" applyFont="1" applyBorder="1" applyAlignment="1">
      <alignment horizontal="center" vertical="center" wrapText="1" readingOrder="1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0" fontId="2" fillId="0" borderId="5" xfId="0" applyFont="1" applyBorder="1" applyAlignment="1">
      <alignment horizontal="center" vertical="center" wrapText="1" readingOrder="1"/>
    </xf>
    <xf numFmtId="164" fontId="1" fillId="0" borderId="18" xfId="0" applyNumberFormat="1" applyFont="1" applyBorder="1" applyAlignment="1">
      <alignment horizontal="center" vertical="center" wrapText="1" readingOrder="1"/>
    </xf>
    <xf numFmtId="164" fontId="1" fillId="0" borderId="0" xfId="0" applyNumberFormat="1" applyFont="1" applyAlignment="1">
      <alignment horizontal="center" vertical="center" wrapText="1" readingOrder="1"/>
    </xf>
    <xf numFmtId="0" fontId="4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 wrapText="1" readingOrder="1"/>
    </xf>
    <xf numFmtId="0" fontId="0" fillId="0" borderId="5" xfId="0" applyBorder="1"/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 wrapText="1" readingOrder="1"/>
    </xf>
    <xf numFmtId="164" fontId="1" fillId="0" borderId="17" xfId="0" applyNumberFormat="1" applyFont="1" applyBorder="1" applyAlignment="1">
      <alignment horizontal="center" vertical="center" wrapText="1" readingOrder="1"/>
    </xf>
    <xf numFmtId="164" fontId="1" fillId="0" borderId="16" xfId="0" applyNumberFormat="1" applyFont="1" applyBorder="1" applyAlignment="1">
      <alignment horizontal="center" vertical="center" wrapText="1" readingOrder="1"/>
    </xf>
    <xf numFmtId="0" fontId="4" fillId="0" borderId="15" xfId="0" applyFont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center" vertical="center" wrapText="1" readingOrder="1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 wrapText="1" readingOrder="1"/>
    </xf>
    <xf numFmtId="9" fontId="1" fillId="0" borderId="26" xfId="1" applyFont="1" applyBorder="1" applyAlignment="1">
      <alignment horizontal="center" vertical="center" wrapText="1" readingOrder="1"/>
    </xf>
    <xf numFmtId="9" fontId="1" fillId="0" borderId="27" xfId="1" applyFont="1" applyBorder="1" applyAlignment="1">
      <alignment horizontal="center" vertical="center" wrapText="1" readingOrder="1"/>
    </xf>
    <xf numFmtId="9" fontId="1" fillId="0" borderId="28" xfId="1" applyFont="1" applyBorder="1" applyAlignment="1">
      <alignment horizontal="center" vertical="center" wrapText="1" readingOrder="1"/>
    </xf>
    <xf numFmtId="164" fontId="1" fillId="0" borderId="1" xfId="0" applyNumberFormat="1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9" fillId="9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9" fillId="9" borderId="29" xfId="0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164" fontId="3" fillId="5" borderId="24" xfId="0" applyNumberFormat="1" applyFont="1" applyFill="1" applyBorder="1" applyAlignment="1">
      <alignment horizontal="center" vertical="center" wrapText="1" readingOrder="1"/>
    </xf>
    <xf numFmtId="164" fontId="3" fillId="5" borderId="25" xfId="0" applyNumberFormat="1" applyFont="1" applyFill="1" applyBorder="1" applyAlignment="1">
      <alignment horizontal="center" vertical="center" wrapText="1" readingOrder="1"/>
    </xf>
    <xf numFmtId="0" fontId="6" fillId="4" borderId="22" xfId="0" applyFont="1" applyFill="1" applyBorder="1" applyAlignment="1">
      <alignment horizontal="center" vertical="center" wrapText="1" readingOrder="1"/>
    </xf>
    <xf numFmtId="0" fontId="6" fillId="4" borderId="23" xfId="0" applyFont="1" applyFill="1" applyBorder="1" applyAlignment="1">
      <alignment horizontal="center" vertical="center" wrapText="1" readingOrder="1"/>
    </xf>
    <xf numFmtId="0" fontId="6" fillId="4" borderId="20" xfId="0" applyFont="1" applyFill="1" applyBorder="1" applyAlignment="1">
      <alignment horizontal="center" vertical="center" wrapText="1" readingOrder="1"/>
    </xf>
    <xf numFmtId="0" fontId="6" fillId="4" borderId="21" xfId="0" applyFont="1" applyFill="1" applyBorder="1" applyAlignment="1">
      <alignment horizontal="center" vertical="center" wrapText="1" readingOrder="1"/>
    </xf>
    <xf numFmtId="164" fontId="3" fillId="7" borderId="8" xfId="0" applyNumberFormat="1" applyFont="1" applyFill="1" applyBorder="1" applyAlignment="1">
      <alignment horizontal="center" vertical="center" wrapText="1" readingOrder="1"/>
    </xf>
    <xf numFmtId="0" fontId="0" fillId="0" borderId="4" xfId="0" applyBorder="1" applyAlignment="1">
      <alignment horizontal="left" vertical="center"/>
    </xf>
  </cellXfs>
  <cellStyles count="2">
    <cellStyle name="Normal" xfId="0" builtinId="0"/>
    <cellStyle name="Percentagem" xfId="1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2C7BCA"/>
      <color rgb="FFFFECD9"/>
      <color rgb="FFFFCC99"/>
      <color rgb="FFFFFF66"/>
      <color rgb="FFC07200"/>
      <color rgb="FFEBF7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94453-AB62-49DC-AE54-48DDE7A10E3D}">
  <dimension ref="A1:O14"/>
  <sheetViews>
    <sheetView workbookViewId="0">
      <selection activeCell="A8" sqref="A8"/>
    </sheetView>
  </sheetViews>
  <sheetFormatPr defaultRowHeight="14.4" x14ac:dyDescent="0.3"/>
  <cols>
    <col min="1" max="1" width="13.109375" customWidth="1"/>
    <col min="3" max="3" width="14.5546875" customWidth="1"/>
    <col min="4" max="4" width="11" customWidth="1"/>
    <col min="6" max="6" width="11.88671875" customWidth="1"/>
    <col min="7" max="7" width="11.33203125" customWidth="1"/>
    <col min="8" max="8" width="11.109375" customWidth="1"/>
    <col min="9" max="9" width="11.77734375" customWidth="1"/>
    <col min="10" max="10" width="9.44140625" customWidth="1"/>
    <col min="11" max="11" width="18" customWidth="1"/>
    <col min="12" max="12" width="15.5546875" customWidth="1"/>
    <col min="13" max="13" width="12.88671875" customWidth="1"/>
    <col min="14" max="14" width="12.44140625" customWidth="1"/>
    <col min="15" max="15" width="13.6640625" customWidth="1"/>
  </cols>
  <sheetData>
    <row r="1" spans="1:15" ht="28.2" customHeight="1" x14ac:dyDescent="0.3">
      <c r="A1" s="63" t="s">
        <v>59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</row>
    <row r="2" spans="1:15" ht="21.6" customHeight="1" x14ac:dyDescent="0.3">
      <c r="A2" s="54" t="s">
        <v>58</v>
      </c>
      <c r="B2" s="54" t="s">
        <v>45</v>
      </c>
      <c r="C2" s="54" t="s">
        <v>46</v>
      </c>
      <c r="D2" s="54" t="s">
        <v>47</v>
      </c>
      <c r="E2" s="54" t="s">
        <v>48</v>
      </c>
      <c r="F2" s="54" t="s">
        <v>49</v>
      </c>
      <c r="G2" s="54" t="s">
        <v>50</v>
      </c>
      <c r="H2" s="54" t="s">
        <v>51</v>
      </c>
      <c r="I2" s="54" t="s">
        <v>52</v>
      </c>
      <c r="J2" s="54" t="s">
        <v>53</v>
      </c>
      <c r="K2" s="54" t="s">
        <v>54</v>
      </c>
      <c r="L2" s="54" t="s">
        <v>55</v>
      </c>
      <c r="M2" s="54" t="s">
        <v>56</v>
      </c>
      <c r="N2" s="58" t="s">
        <v>57</v>
      </c>
      <c r="O2" s="54" t="s">
        <v>43</v>
      </c>
    </row>
    <row r="3" spans="1:15" ht="25.8" customHeight="1" x14ac:dyDescent="0.3">
      <c r="A3" s="64" t="s">
        <v>63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</row>
    <row r="4" spans="1:15" ht="25.8" customHeight="1" x14ac:dyDescent="0.3">
      <c r="A4" s="57">
        <v>1</v>
      </c>
      <c r="B4" s="57">
        <v>1</v>
      </c>
      <c r="C4" s="57">
        <v>1</v>
      </c>
      <c r="D4" s="57">
        <v>1</v>
      </c>
      <c r="E4" s="57">
        <v>1</v>
      </c>
      <c r="F4" s="57">
        <v>1</v>
      </c>
      <c r="G4" s="57">
        <v>1</v>
      </c>
      <c r="H4" s="57">
        <v>1</v>
      </c>
      <c r="I4" s="57">
        <v>1</v>
      </c>
      <c r="J4" s="57">
        <v>1</v>
      </c>
      <c r="K4" s="57">
        <v>1</v>
      </c>
      <c r="L4" s="57">
        <v>1</v>
      </c>
      <c r="M4" s="57">
        <v>1</v>
      </c>
      <c r="N4" s="57">
        <v>1</v>
      </c>
      <c r="O4" s="55">
        <v>1</v>
      </c>
    </row>
    <row r="5" spans="1:15" ht="24" customHeight="1" x14ac:dyDescent="0.3">
      <c r="A5" s="57">
        <v>2.5</v>
      </c>
      <c r="B5" s="57">
        <v>3</v>
      </c>
      <c r="C5" s="57">
        <v>1</v>
      </c>
      <c r="D5" s="57">
        <v>2.2000000000000002</v>
      </c>
      <c r="E5" s="57">
        <v>2.8</v>
      </c>
      <c r="F5" s="57">
        <v>1.2</v>
      </c>
      <c r="G5" s="57">
        <v>1.5</v>
      </c>
      <c r="H5" s="57">
        <v>1.2</v>
      </c>
      <c r="I5" s="57">
        <v>1</v>
      </c>
      <c r="J5" s="57">
        <v>2</v>
      </c>
      <c r="K5" s="57">
        <v>0.8</v>
      </c>
      <c r="L5" s="57">
        <v>0.5</v>
      </c>
      <c r="M5" s="57">
        <v>0.5</v>
      </c>
      <c r="N5" s="57">
        <v>0.5</v>
      </c>
      <c r="O5" s="55">
        <v>1</v>
      </c>
    </row>
    <row r="6" spans="1:15" ht="26.4" customHeight="1" x14ac:dyDescent="0.3">
      <c r="A6" s="59">
        <v>1E-3</v>
      </c>
      <c r="B6" s="59">
        <v>1E-3</v>
      </c>
      <c r="C6" s="59">
        <v>1E-3</v>
      </c>
      <c r="D6" s="59">
        <v>50</v>
      </c>
      <c r="E6" s="59">
        <v>1E-3</v>
      </c>
      <c r="F6" s="59">
        <v>1E-3</v>
      </c>
      <c r="G6" s="59">
        <v>1E-3</v>
      </c>
      <c r="H6" s="59">
        <v>1E-3</v>
      </c>
      <c r="I6" s="59">
        <v>1E-3</v>
      </c>
      <c r="J6" s="59">
        <v>1E-3</v>
      </c>
      <c r="K6" s="59">
        <v>1E-3</v>
      </c>
      <c r="L6" s="59">
        <v>1E-3</v>
      </c>
      <c r="M6" s="59">
        <v>1000</v>
      </c>
      <c r="N6" s="59">
        <v>1000</v>
      </c>
      <c r="O6" s="56">
        <v>0.66669999999999996</v>
      </c>
    </row>
    <row r="9" spans="1:15" ht="23.4" x14ac:dyDescent="0.3">
      <c r="A9" s="64" t="s">
        <v>60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</row>
    <row r="10" spans="1:15" ht="22.2" customHeight="1" x14ac:dyDescent="0.3">
      <c r="A10" s="62" t="s">
        <v>61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</row>
    <row r="11" spans="1:15" ht="21" customHeight="1" x14ac:dyDescent="0.3">
      <c r="A11" s="57">
        <v>2.5</v>
      </c>
      <c r="B11" s="57">
        <v>3</v>
      </c>
      <c r="C11" s="57">
        <v>1</v>
      </c>
      <c r="D11" s="57">
        <v>2.2000000000000002</v>
      </c>
      <c r="E11" s="57">
        <v>2.8</v>
      </c>
      <c r="F11" s="57">
        <v>1.2</v>
      </c>
      <c r="G11" s="57">
        <v>1.5</v>
      </c>
      <c r="H11" s="57">
        <v>1.2</v>
      </c>
      <c r="I11" s="57">
        <v>1</v>
      </c>
      <c r="J11" s="57">
        <v>2</v>
      </c>
      <c r="K11" s="57">
        <v>0.8</v>
      </c>
      <c r="L11" s="57">
        <v>0.5</v>
      </c>
      <c r="M11" s="57">
        <v>0.5</v>
      </c>
      <c r="N11" s="57">
        <v>0.5</v>
      </c>
      <c r="O11" s="55">
        <v>1</v>
      </c>
    </row>
    <row r="12" spans="1:15" x14ac:dyDescent="0.3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1"/>
    </row>
    <row r="13" spans="1:15" ht="18" x14ac:dyDescent="0.3">
      <c r="A13" s="62" t="s">
        <v>62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</row>
    <row r="14" spans="1:15" ht="25.8" customHeight="1" x14ac:dyDescent="0.3">
      <c r="A14" s="57">
        <v>2.5</v>
      </c>
      <c r="B14" s="57">
        <v>3</v>
      </c>
      <c r="C14" s="57">
        <v>1</v>
      </c>
      <c r="D14" s="57">
        <v>2.2000000000000002</v>
      </c>
      <c r="E14" s="57">
        <v>2.8</v>
      </c>
      <c r="F14" s="57">
        <v>1.2</v>
      </c>
      <c r="G14" s="57">
        <v>1.5</v>
      </c>
      <c r="H14" s="57">
        <v>1.2</v>
      </c>
      <c r="I14" s="57">
        <v>1</v>
      </c>
      <c r="J14" s="57">
        <v>2</v>
      </c>
      <c r="K14" s="57">
        <v>0.8</v>
      </c>
      <c r="L14" s="57">
        <v>0.5</v>
      </c>
      <c r="M14" s="57">
        <v>0.5</v>
      </c>
      <c r="N14" s="57">
        <v>0.5</v>
      </c>
      <c r="O14" s="56">
        <v>0.16669999999999999</v>
      </c>
    </row>
  </sheetData>
  <mergeCells count="5">
    <mergeCell ref="A10:O10"/>
    <mergeCell ref="A13:O13"/>
    <mergeCell ref="A1:O1"/>
    <mergeCell ref="A3:O3"/>
    <mergeCell ref="A9:O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FEE9E-6258-4C7F-B926-D6E04417B800}">
  <dimension ref="A1:J160"/>
  <sheetViews>
    <sheetView tabSelected="1" zoomScaleNormal="100" workbookViewId="0">
      <pane xSplit="10" ySplit="2" topLeftCell="K4" activePane="bottomRight" state="frozen"/>
      <selection pane="topRight" activeCell="K1" sqref="K1"/>
      <selection pane="bottomLeft" activeCell="A3" sqref="A3"/>
      <selection pane="bottomRight" activeCell="J8" sqref="J8"/>
    </sheetView>
  </sheetViews>
  <sheetFormatPr defaultRowHeight="14.4" x14ac:dyDescent="0.3"/>
  <cols>
    <col min="1" max="1" width="11" style="5" customWidth="1"/>
    <col min="2" max="2" width="28.109375" customWidth="1"/>
    <col min="3" max="3" width="18.88671875" customWidth="1"/>
    <col min="4" max="5" width="20.88671875" customWidth="1"/>
    <col min="6" max="6" width="18.33203125" customWidth="1"/>
    <col min="7" max="7" width="15.88671875" style="27" customWidth="1"/>
    <col min="8" max="8" width="17.6640625" style="27" customWidth="1"/>
    <col min="9" max="9" width="15.5546875" hidden="1" customWidth="1"/>
    <col min="10" max="10" width="41.6640625" customWidth="1"/>
  </cols>
  <sheetData>
    <row r="1" spans="1:10" ht="32.25" customHeight="1" x14ac:dyDescent="0.3">
      <c r="A1" s="63" t="s">
        <v>35</v>
      </c>
      <c r="B1" s="63"/>
      <c r="C1" s="63"/>
      <c r="D1" s="63"/>
      <c r="E1" s="63"/>
      <c r="F1" s="63"/>
      <c r="G1" s="63"/>
      <c r="H1" s="63"/>
      <c r="I1" s="63"/>
      <c r="J1" s="63"/>
    </row>
    <row r="2" spans="1:10" ht="36.75" customHeight="1" x14ac:dyDescent="0.3">
      <c r="A2" s="14" t="s">
        <v>30</v>
      </c>
      <c r="B2" s="14" t="s">
        <v>22</v>
      </c>
      <c r="C2" s="15" t="s">
        <v>0</v>
      </c>
      <c r="D2" s="15" t="s">
        <v>32</v>
      </c>
      <c r="E2" s="15" t="s">
        <v>28</v>
      </c>
      <c r="F2" s="17" t="s">
        <v>36</v>
      </c>
      <c r="G2" s="20" t="s">
        <v>1</v>
      </c>
      <c r="H2" s="21" t="s">
        <v>2</v>
      </c>
      <c r="I2" s="40" t="s">
        <v>31</v>
      </c>
      <c r="J2" s="18" t="s">
        <v>23</v>
      </c>
    </row>
    <row r="3" spans="1:10" ht="27.75" customHeight="1" x14ac:dyDescent="0.3">
      <c r="A3" s="66" t="s">
        <v>25</v>
      </c>
      <c r="B3" s="66"/>
      <c r="C3" s="66"/>
      <c r="D3" s="66"/>
      <c r="E3" s="66"/>
      <c r="F3" s="66"/>
      <c r="G3" s="66"/>
      <c r="H3" s="66"/>
      <c r="I3" s="66"/>
      <c r="J3" s="66"/>
    </row>
    <row r="4" spans="1:10" ht="29.25" customHeight="1" x14ac:dyDescent="0.3">
      <c r="A4" s="35">
        <f>RANK(I4, (I4, I7:I10, I13:I18, I21:I25, I28:I30), 0)</f>
        <v>4</v>
      </c>
      <c r="B4" s="35">
        <v>1</v>
      </c>
      <c r="C4" s="9" t="s">
        <v>3</v>
      </c>
      <c r="D4" s="9" t="s">
        <v>4</v>
      </c>
      <c r="E4" s="9" t="s">
        <v>5</v>
      </c>
      <c r="F4" s="9" t="s">
        <v>6</v>
      </c>
      <c r="G4" s="36">
        <v>0.99790000000000001</v>
      </c>
      <c r="H4" s="37">
        <v>0.99560000000000004</v>
      </c>
      <c r="I4" s="39">
        <f>(G4 * 0.35) + (H4 * 0.65)</f>
        <v>0.99640499999999999</v>
      </c>
      <c r="J4" s="4"/>
    </row>
    <row r="5" spans="1:10" ht="26.25" customHeight="1" x14ac:dyDescent="0.3">
      <c r="B5" s="7"/>
      <c r="C5" s="6"/>
      <c r="D5" s="6"/>
      <c r="E5" s="6"/>
      <c r="F5" s="6"/>
      <c r="G5" s="22"/>
      <c r="H5" s="22"/>
    </row>
    <row r="6" spans="1:10" ht="36" customHeight="1" x14ac:dyDescent="0.3">
      <c r="A6" s="66" t="s">
        <v>24</v>
      </c>
      <c r="B6" s="66"/>
      <c r="C6" s="66"/>
      <c r="D6" s="66"/>
      <c r="E6" s="66"/>
      <c r="F6" s="66"/>
      <c r="G6" s="66"/>
      <c r="H6" s="66"/>
      <c r="I6" s="66"/>
      <c r="J6" s="66"/>
    </row>
    <row r="7" spans="1:10" ht="29.25" customHeight="1" x14ac:dyDescent="0.3">
      <c r="A7" s="35">
        <f>RANK(I7, (I4, I7:I10, I13:I18, I21:I25, I28:I30), 0)</f>
        <v>8</v>
      </c>
      <c r="B7" s="5">
        <v>1</v>
      </c>
      <c r="C7" s="1" t="s">
        <v>7</v>
      </c>
      <c r="D7" s="10" t="s">
        <v>4</v>
      </c>
      <c r="E7" s="10" t="s">
        <v>5</v>
      </c>
      <c r="F7" s="10" t="s">
        <v>6</v>
      </c>
      <c r="G7" s="36">
        <v>0.99360000000000004</v>
      </c>
      <c r="H7" s="38">
        <v>0.99360000000000004</v>
      </c>
      <c r="I7" s="39">
        <f t="shared" ref="I7:I29" si="0">(G7 * 0.35) + (H7 * 0.65)</f>
        <v>0.99360000000000004</v>
      </c>
      <c r="J7" s="3"/>
    </row>
    <row r="8" spans="1:10" ht="29.25" customHeight="1" x14ac:dyDescent="0.3">
      <c r="A8" s="35">
        <f>RANK(I8, (I4, I7:I10, I13:I18, I21:I25, I28:I30), 0)</f>
        <v>3</v>
      </c>
      <c r="B8" s="34">
        <v>1</v>
      </c>
      <c r="C8" s="16" t="s">
        <v>8</v>
      </c>
      <c r="D8" s="8" t="s">
        <v>4</v>
      </c>
      <c r="E8" s="8" t="s">
        <v>5</v>
      </c>
      <c r="F8" s="8" t="s">
        <v>6</v>
      </c>
      <c r="G8" s="23">
        <v>0.99819999999999998</v>
      </c>
      <c r="H8" s="24">
        <v>0.99560000000000004</v>
      </c>
      <c r="I8" s="39">
        <f t="shared" si="0"/>
        <v>0.99651000000000001</v>
      </c>
      <c r="J8" s="76" t="s">
        <v>64</v>
      </c>
    </row>
    <row r="9" spans="1:10" ht="28.5" customHeight="1" x14ac:dyDescent="0.3">
      <c r="A9" s="35">
        <f>RANK(I9, (I4, I7:I10, I13:I18, I21:I25, I28:I30), 0)</f>
        <v>5</v>
      </c>
      <c r="B9" s="34">
        <v>3</v>
      </c>
      <c r="C9" s="16" t="s">
        <v>9</v>
      </c>
      <c r="D9" s="8" t="s">
        <v>4</v>
      </c>
      <c r="E9" s="8" t="s">
        <v>5</v>
      </c>
      <c r="F9" s="8" t="s">
        <v>6</v>
      </c>
      <c r="G9" s="23">
        <v>0.99829999999999997</v>
      </c>
      <c r="H9" s="24">
        <v>0.99480000000000002</v>
      </c>
      <c r="I9" s="39">
        <f t="shared" si="0"/>
        <v>0.99602500000000005</v>
      </c>
      <c r="J9" s="2"/>
    </row>
    <row r="10" spans="1:10" ht="30.75" customHeight="1" x14ac:dyDescent="0.3">
      <c r="A10" s="35">
        <f>RANK(I10, (I4, I7:I10, I13:I18, I21:I25, I28:I30), 0)</f>
        <v>1</v>
      </c>
      <c r="B10" s="34">
        <v>3</v>
      </c>
      <c r="C10" s="16" t="s">
        <v>34</v>
      </c>
      <c r="D10" s="8" t="s">
        <v>4</v>
      </c>
      <c r="E10" s="8" t="s">
        <v>5</v>
      </c>
      <c r="F10" s="8" t="s">
        <v>6</v>
      </c>
      <c r="G10" s="23">
        <v>0.99870000000000003</v>
      </c>
      <c r="H10" s="24">
        <v>0.99609999999999999</v>
      </c>
      <c r="I10" s="39">
        <f>(G10 * 0.35) + (H10 * 0.65)</f>
        <v>0.99700999999999995</v>
      </c>
      <c r="J10" s="2"/>
    </row>
    <row r="11" spans="1:10" ht="26.25" customHeight="1" x14ac:dyDescent="0.3">
      <c r="B11" s="7"/>
      <c r="C11" s="6"/>
      <c r="D11" s="6"/>
      <c r="E11" s="6"/>
      <c r="F11" s="6"/>
      <c r="G11" s="22"/>
      <c r="H11" s="22"/>
    </row>
    <row r="12" spans="1:10" ht="29.25" customHeight="1" x14ac:dyDescent="0.3">
      <c r="A12" s="66" t="s">
        <v>26</v>
      </c>
      <c r="B12" s="66"/>
      <c r="C12" s="66"/>
      <c r="D12" s="66"/>
      <c r="E12" s="66"/>
      <c r="F12" s="66"/>
      <c r="G12" s="66"/>
      <c r="H12" s="66"/>
      <c r="I12" s="66"/>
      <c r="J12" s="66"/>
    </row>
    <row r="13" spans="1:10" ht="29.25" customHeight="1" x14ac:dyDescent="0.3">
      <c r="A13" s="35">
        <f>RANK(I13, (I4, I7:I10, I13:I18, I21:I25, I28:I30), 0)</f>
        <v>7</v>
      </c>
      <c r="B13" s="35">
        <v>1</v>
      </c>
      <c r="C13" s="9" t="s">
        <v>3</v>
      </c>
      <c r="D13" s="19" t="s">
        <v>33</v>
      </c>
      <c r="E13" s="9" t="s">
        <v>5</v>
      </c>
      <c r="F13" s="9" t="s">
        <v>6</v>
      </c>
      <c r="G13" s="36">
        <v>0.99439999999999995</v>
      </c>
      <c r="H13" s="37">
        <v>0.99399999999999999</v>
      </c>
      <c r="I13" s="39">
        <f t="shared" si="0"/>
        <v>0.99414000000000002</v>
      </c>
      <c r="J13" s="4"/>
    </row>
    <row r="14" spans="1:10" ht="30" customHeight="1" x14ac:dyDescent="0.3">
      <c r="A14" s="35">
        <f>RANK(I14, (I4, I7:I10, I13:I18, I21:I25, I28:I30), 0)</f>
        <v>2</v>
      </c>
      <c r="B14" s="34">
        <v>1</v>
      </c>
      <c r="C14" s="8" t="s">
        <v>3</v>
      </c>
      <c r="D14" s="16" t="s">
        <v>10</v>
      </c>
      <c r="E14" s="8" t="s">
        <v>5</v>
      </c>
      <c r="F14" s="8" t="s">
        <v>6</v>
      </c>
      <c r="G14" s="23">
        <v>0.99929999999999997</v>
      </c>
      <c r="H14" s="24">
        <v>0.99550000000000005</v>
      </c>
      <c r="I14" s="39">
        <f t="shared" si="0"/>
        <v>0.9968300000000001</v>
      </c>
      <c r="J14" s="2"/>
    </row>
    <row r="15" spans="1:10" ht="29.25" customHeight="1" x14ac:dyDescent="0.3">
      <c r="A15" s="35">
        <f>RANK(I15, (I4, I7:I10, I13:I18, I21:I25, I28:I30), 0)</f>
        <v>18</v>
      </c>
      <c r="B15" s="34">
        <v>1</v>
      </c>
      <c r="C15" s="8" t="s">
        <v>3</v>
      </c>
      <c r="D15" s="16" t="s">
        <v>11</v>
      </c>
      <c r="E15" s="8" t="s">
        <v>5</v>
      </c>
      <c r="F15" s="8" t="s">
        <v>6</v>
      </c>
      <c r="G15" s="23">
        <v>0.31669999999999998</v>
      </c>
      <c r="H15" s="24">
        <v>0.31109999999999999</v>
      </c>
      <c r="I15" s="39">
        <f t="shared" si="0"/>
        <v>0.31306</v>
      </c>
      <c r="J15" s="2"/>
    </row>
    <row r="16" spans="1:10" ht="28.5" customHeight="1" x14ac:dyDescent="0.3">
      <c r="A16" s="35">
        <f>RANK(I16, (I4, I7:I10, I13:I18, I21:I25, I28:I30), 0)</f>
        <v>15</v>
      </c>
      <c r="B16" s="34">
        <v>1</v>
      </c>
      <c r="C16" s="8" t="s">
        <v>3</v>
      </c>
      <c r="D16" s="16" t="s">
        <v>12</v>
      </c>
      <c r="E16" s="8" t="s">
        <v>5</v>
      </c>
      <c r="F16" s="8" t="s">
        <v>6</v>
      </c>
      <c r="G16" s="23">
        <v>0.35820000000000002</v>
      </c>
      <c r="H16" s="24">
        <v>0.36030000000000001</v>
      </c>
      <c r="I16" s="39">
        <f t="shared" si="0"/>
        <v>0.35956500000000002</v>
      </c>
      <c r="J16" s="2"/>
    </row>
    <row r="17" spans="1:10" ht="29.25" customHeight="1" x14ac:dyDescent="0.3">
      <c r="A17" s="35">
        <f>RANK(I17, (I4, I7:I10, I13:I18, I21:I25, I28:I30), 0)</f>
        <v>9</v>
      </c>
      <c r="B17" s="34">
        <v>1</v>
      </c>
      <c r="C17" s="8" t="s">
        <v>3</v>
      </c>
      <c r="D17" s="16" t="s">
        <v>13</v>
      </c>
      <c r="E17" s="8" t="s">
        <v>5</v>
      </c>
      <c r="F17" s="8" t="s">
        <v>6</v>
      </c>
      <c r="G17" s="23">
        <v>0.99380000000000002</v>
      </c>
      <c r="H17" s="24">
        <v>0.99250000000000005</v>
      </c>
      <c r="I17" s="39">
        <f t="shared" si="0"/>
        <v>0.99295500000000003</v>
      </c>
      <c r="J17" s="2"/>
    </row>
    <row r="18" spans="1:10" ht="27.75" customHeight="1" x14ac:dyDescent="0.3">
      <c r="A18" s="35">
        <f>RANK(I18, (I4, I7:I10, I13:I18, I21:I25, I28:I30), 0)</f>
        <v>10</v>
      </c>
      <c r="B18" s="34">
        <v>1</v>
      </c>
      <c r="C18" s="8" t="s">
        <v>3</v>
      </c>
      <c r="D18" s="16" t="s">
        <v>14</v>
      </c>
      <c r="E18" s="8" t="s">
        <v>5</v>
      </c>
      <c r="F18" s="8" t="s">
        <v>6</v>
      </c>
      <c r="G18" s="23">
        <v>0.99329999999999996</v>
      </c>
      <c r="H18" s="24">
        <v>0.9909</v>
      </c>
      <c r="I18" s="39">
        <f t="shared" si="0"/>
        <v>0.99174000000000007</v>
      </c>
      <c r="J18" s="2"/>
    </row>
    <row r="19" spans="1:10" ht="24.75" customHeight="1" x14ac:dyDescent="0.3">
      <c r="B19" s="5"/>
      <c r="C19" s="11"/>
      <c r="D19" s="11"/>
      <c r="E19" s="11"/>
      <c r="F19" s="11"/>
      <c r="G19" s="26"/>
      <c r="H19" s="26"/>
    </row>
    <row r="20" spans="1:10" ht="27" customHeight="1" x14ac:dyDescent="0.3">
      <c r="A20" s="66" t="s">
        <v>27</v>
      </c>
      <c r="B20" s="66"/>
      <c r="C20" s="66"/>
      <c r="D20" s="66"/>
      <c r="E20" s="66"/>
      <c r="F20" s="66"/>
      <c r="G20" s="66"/>
      <c r="H20" s="66"/>
      <c r="I20" s="66"/>
      <c r="J20" s="66"/>
    </row>
    <row r="21" spans="1:10" ht="29.25" customHeight="1" x14ac:dyDescent="0.3">
      <c r="A21" s="35">
        <f>RANK(I21, (I4, I7:I10, I13:I18, I21:I25, I28:I30), 0)</f>
        <v>17</v>
      </c>
      <c r="B21" s="35">
        <v>1</v>
      </c>
      <c r="C21" s="9" t="s">
        <v>3</v>
      </c>
      <c r="D21" s="9" t="s">
        <v>4</v>
      </c>
      <c r="E21" s="19" t="s">
        <v>15</v>
      </c>
      <c r="F21" s="9" t="s">
        <v>6</v>
      </c>
      <c r="G21" s="36">
        <v>0.33479999999999999</v>
      </c>
      <c r="H21" s="37">
        <v>0.33289999999999997</v>
      </c>
      <c r="I21" s="39">
        <f t="shared" si="0"/>
        <v>0.333565</v>
      </c>
      <c r="J21" s="4"/>
    </row>
    <row r="22" spans="1:10" ht="30" customHeight="1" x14ac:dyDescent="0.3">
      <c r="A22" s="35">
        <f>RANK(I22, (I4, I7:I10, I13:I18, I21:I25, I28:I30), 0)</f>
        <v>13</v>
      </c>
      <c r="B22" s="34">
        <v>1</v>
      </c>
      <c r="C22" s="8" t="s">
        <v>3</v>
      </c>
      <c r="D22" s="8" t="s">
        <v>4</v>
      </c>
      <c r="E22" s="16" t="s">
        <v>16</v>
      </c>
      <c r="F22" s="8" t="s">
        <v>6</v>
      </c>
      <c r="G22" s="23">
        <v>0.93059999999999998</v>
      </c>
      <c r="H22" s="24">
        <v>0.92849999999999999</v>
      </c>
      <c r="I22" s="39">
        <f t="shared" si="0"/>
        <v>0.92923500000000003</v>
      </c>
      <c r="J22" s="2"/>
    </row>
    <row r="23" spans="1:10" ht="30" customHeight="1" x14ac:dyDescent="0.3">
      <c r="A23" s="35">
        <f>RANK(I23, (I4, I7:I10, I13:I18, I21:I25, I28:I30), 0)</f>
        <v>14</v>
      </c>
      <c r="B23" s="34">
        <v>1</v>
      </c>
      <c r="C23" s="8" t="s">
        <v>3</v>
      </c>
      <c r="D23" s="8" t="s">
        <v>4</v>
      </c>
      <c r="E23" s="16" t="s">
        <v>17</v>
      </c>
      <c r="F23" s="8" t="s">
        <v>6</v>
      </c>
      <c r="G23" s="23">
        <v>0.86480000000000001</v>
      </c>
      <c r="H23" s="24">
        <v>0.86329999999999996</v>
      </c>
      <c r="I23" s="39">
        <f t="shared" si="0"/>
        <v>0.86382500000000007</v>
      </c>
      <c r="J23" s="2"/>
    </row>
    <row r="24" spans="1:10" ht="28.5" customHeight="1" x14ac:dyDescent="0.3">
      <c r="A24" s="35">
        <f>RANK(I24, (I4, I7:I10, I13:I18, I21:I25, I28:I30), 0)</f>
        <v>12</v>
      </c>
      <c r="B24" s="34">
        <v>1</v>
      </c>
      <c r="C24" s="8" t="s">
        <v>3</v>
      </c>
      <c r="D24" s="8" t="s">
        <v>4</v>
      </c>
      <c r="E24" s="16" t="s">
        <v>18</v>
      </c>
      <c r="F24" s="8" t="s">
        <v>6</v>
      </c>
      <c r="G24" s="23">
        <v>0.97609999999999997</v>
      </c>
      <c r="H24" s="24">
        <v>0.97570000000000001</v>
      </c>
      <c r="I24" s="39">
        <f t="shared" si="0"/>
        <v>0.97584000000000004</v>
      </c>
      <c r="J24" s="2"/>
    </row>
    <row r="25" spans="1:10" ht="29.25" customHeight="1" x14ac:dyDescent="0.3">
      <c r="A25" s="35">
        <f>RANK(I25, (I4, I7:I10, I13:I18, I21:I25, I28:I30), 0)</f>
        <v>16</v>
      </c>
      <c r="B25" s="34">
        <v>1</v>
      </c>
      <c r="C25" s="8" t="s">
        <v>3</v>
      </c>
      <c r="D25" s="8" t="s">
        <v>4</v>
      </c>
      <c r="E25" s="16" t="s">
        <v>19</v>
      </c>
      <c r="F25" s="8" t="s">
        <v>6</v>
      </c>
      <c r="G25" s="23">
        <v>0.33960000000000001</v>
      </c>
      <c r="H25" s="24">
        <v>0.34200000000000003</v>
      </c>
      <c r="I25" s="39">
        <f t="shared" si="0"/>
        <v>0.34116000000000002</v>
      </c>
      <c r="J25" s="2"/>
    </row>
    <row r="26" spans="1:10" ht="29.25" customHeight="1" x14ac:dyDescent="0.3">
      <c r="B26" s="5"/>
      <c r="C26" s="11"/>
      <c r="D26" s="11"/>
      <c r="E26" s="11"/>
      <c r="F26" s="53"/>
      <c r="G26" s="26"/>
      <c r="H26" s="26"/>
    </row>
    <row r="27" spans="1:10" ht="28.5" customHeight="1" x14ac:dyDescent="0.3">
      <c r="A27" s="66" t="s">
        <v>29</v>
      </c>
      <c r="B27" s="66"/>
      <c r="C27" s="66"/>
      <c r="D27" s="66"/>
      <c r="E27" s="66"/>
      <c r="F27" s="66"/>
      <c r="G27" s="66"/>
      <c r="H27" s="66"/>
      <c r="I27" s="66"/>
      <c r="J27" s="66"/>
    </row>
    <row r="28" spans="1:10" ht="30" customHeight="1" x14ac:dyDescent="0.3">
      <c r="A28" s="35">
        <f>RANK(I28, (I4, I7:I10, I13:I18, I21:I25, I28:I30), 0)</f>
        <v>11</v>
      </c>
      <c r="B28" s="35">
        <v>1</v>
      </c>
      <c r="C28" s="9" t="s">
        <v>3</v>
      </c>
      <c r="D28" s="9" t="s">
        <v>4</v>
      </c>
      <c r="E28" s="9" t="s">
        <v>5</v>
      </c>
      <c r="F28" s="19" t="s">
        <v>20</v>
      </c>
      <c r="G28" s="36">
        <v>0.98619999999999997</v>
      </c>
      <c r="H28" s="37">
        <v>0.9859</v>
      </c>
      <c r="I28" s="39">
        <f t="shared" si="0"/>
        <v>0.98600500000000002</v>
      </c>
      <c r="J28" s="4"/>
    </row>
    <row r="29" spans="1:10" ht="30.75" customHeight="1" x14ac:dyDescent="0.3">
      <c r="A29" s="35">
        <f>RANK(I29, (I4, I7:I10, I13:I18, I21:I25, I28:I30), 0)</f>
        <v>6</v>
      </c>
      <c r="B29" s="31">
        <v>1</v>
      </c>
      <c r="C29" s="12" t="s">
        <v>3</v>
      </c>
      <c r="D29" s="12" t="s">
        <v>4</v>
      </c>
      <c r="E29" s="12" t="s">
        <v>5</v>
      </c>
      <c r="F29" s="28" t="s">
        <v>21</v>
      </c>
      <c r="G29" s="29">
        <v>0.99890000000000001</v>
      </c>
      <c r="H29" s="25">
        <v>0.99360000000000004</v>
      </c>
      <c r="I29" s="39">
        <f t="shared" si="0"/>
        <v>0.99545500000000009</v>
      </c>
      <c r="J29" s="13"/>
    </row>
    <row r="30" spans="1:10" ht="30.75" customHeight="1" x14ac:dyDescent="0.3">
      <c r="B30" s="31"/>
      <c r="C30" s="12"/>
      <c r="D30" s="12"/>
      <c r="E30" s="12"/>
      <c r="F30" s="28"/>
      <c r="G30" s="32"/>
      <c r="H30" s="32"/>
      <c r="J30" s="33"/>
    </row>
    <row r="31" spans="1:10" ht="36.75" customHeight="1" x14ac:dyDescent="0.3">
      <c r="B31" s="5"/>
      <c r="C31" s="10"/>
      <c r="D31" s="1"/>
      <c r="E31" s="10"/>
      <c r="F31" s="10"/>
      <c r="G31" s="30"/>
      <c r="H31" s="30"/>
      <c r="I31" s="5"/>
    </row>
    <row r="32" spans="1:10" x14ac:dyDescent="0.3">
      <c r="B32" s="6"/>
      <c r="C32" s="6"/>
      <c r="D32" s="6"/>
      <c r="E32" s="6"/>
      <c r="F32" s="6"/>
      <c r="G32" s="22"/>
    </row>
    <row r="33" spans="2:7" x14ac:dyDescent="0.3">
      <c r="B33" s="6"/>
      <c r="C33" s="6"/>
      <c r="D33" s="6"/>
      <c r="E33" s="6"/>
      <c r="F33" s="6"/>
      <c r="G33" s="22"/>
    </row>
    <row r="34" spans="2:7" x14ac:dyDescent="0.3">
      <c r="B34" s="6"/>
      <c r="C34" s="6"/>
      <c r="D34" s="6"/>
      <c r="E34" s="6"/>
      <c r="F34" s="6"/>
      <c r="G34" s="22"/>
    </row>
    <row r="35" spans="2:7" x14ac:dyDescent="0.3">
      <c r="B35" s="6"/>
      <c r="C35" s="6"/>
      <c r="D35" s="6"/>
      <c r="E35" s="6"/>
      <c r="F35" s="6"/>
      <c r="G35" s="22"/>
    </row>
    <row r="36" spans="2:7" x14ac:dyDescent="0.3">
      <c r="B36" s="6"/>
      <c r="C36" s="6"/>
      <c r="D36" s="6"/>
      <c r="E36" s="6"/>
      <c r="F36" s="6"/>
      <c r="G36" s="22"/>
    </row>
    <row r="37" spans="2:7" x14ac:dyDescent="0.3">
      <c r="B37" s="6"/>
      <c r="C37" s="6"/>
      <c r="D37" s="6"/>
      <c r="E37" s="6"/>
      <c r="F37" s="6"/>
      <c r="G37" s="22"/>
    </row>
    <row r="38" spans="2:7" x14ac:dyDescent="0.3">
      <c r="B38" s="6"/>
      <c r="C38" s="6"/>
      <c r="D38" s="6"/>
      <c r="E38" s="6"/>
      <c r="F38" s="6"/>
      <c r="G38" s="22"/>
    </row>
    <row r="39" spans="2:7" x14ac:dyDescent="0.3">
      <c r="B39" s="6"/>
      <c r="C39" s="6"/>
      <c r="D39" s="6"/>
      <c r="E39" s="6"/>
      <c r="F39" s="6"/>
      <c r="G39" s="22"/>
    </row>
    <row r="40" spans="2:7" x14ac:dyDescent="0.3">
      <c r="B40" s="6"/>
      <c r="C40" s="6"/>
      <c r="D40" s="6"/>
      <c r="E40" s="6"/>
      <c r="F40" s="6"/>
      <c r="G40" s="22"/>
    </row>
    <row r="41" spans="2:7" x14ac:dyDescent="0.3">
      <c r="B41" s="6"/>
      <c r="C41" s="6"/>
      <c r="D41" s="6"/>
      <c r="E41" s="6"/>
      <c r="F41" s="6"/>
      <c r="G41" s="22"/>
    </row>
    <row r="42" spans="2:7" x14ac:dyDescent="0.3">
      <c r="B42" s="6"/>
      <c r="C42" s="6"/>
      <c r="D42" s="6"/>
      <c r="E42" s="6"/>
      <c r="F42" s="6"/>
      <c r="G42" s="22"/>
    </row>
    <row r="43" spans="2:7" x14ac:dyDescent="0.3">
      <c r="B43" s="6"/>
      <c r="C43" s="6"/>
      <c r="D43" s="6"/>
      <c r="E43" s="6"/>
      <c r="F43" s="6"/>
      <c r="G43" s="22"/>
    </row>
    <row r="44" spans="2:7" x14ac:dyDescent="0.3">
      <c r="B44" s="6"/>
      <c r="C44" s="6"/>
      <c r="D44" s="6"/>
      <c r="E44" s="6"/>
      <c r="F44" s="6"/>
      <c r="G44" s="22"/>
    </row>
    <row r="45" spans="2:7" x14ac:dyDescent="0.3">
      <c r="B45" s="6"/>
      <c r="C45" s="6"/>
      <c r="D45" s="6"/>
      <c r="E45" s="6"/>
      <c r="F45" s="6"/>
      <c r="G45" s="22"/>
    </row>
    <row r="46" spans="2:7" x14ac:dyDescent="0.3">
      <c r="B46" s="6"/>
      <c r="C46" s="6"/>
      <c r="D46" s="6"/>
      <c r="E46" s="6"/>
      <c r="F46" s="6"/>
      <c r="G46" s="22"/>
    </row>
    <row r="47" spans="2:7" x14ac:dyDescent="0.3">
      <c r="B47" s="6"/>
      <c r="C47" s="6"/>
      <c r="D47" s="6"/>
      <c r="E47" s="6"/>
      <c r="F47" s="6"/>
      <c r="G47" s="22"/>
    </row>
    <row r="48" spans="2:7" x14ac:dyDescent="0.3">
      <c r="B48" s="6"/>
      <c r="C48" s="6"/>
      <c r="D48" s="6"/>
      <c r="E48" s="6"/>
      <c r="F48" s="6"/>
      <c r="G48" s="22"/>
    </row>
    <row r="49" spans="2:7" x14ac:dyDescent="0.3">
      <c r="B49" s="6"/>
      <c r="C49" s="6"/>
      <c r="D49" s="6"/>
      <c r="E49" s="6"/>
      <c r="F49" s="6"/>
      <c r="G49" s="22"/>
    </row>
    <row r="50" spans="2:7" x14ac:dyDescent="0.3">
      <c r="B50" s="6"/>
      <c r="C50" s="6"/>
      <c r="D50" s="6"/>
      <c r="E50" s="6"/>
      <c r="F50" s="6"/>
      <c r="G50" s="22"/>
    </row>
    <row r="51" spans="2:7" x14ac:dyDescent="0.3">
      <c r="B51" s="6"/>
      <c r="C51" s="6"/>
      <c r="D51" s="6"/>
      <c r="E51" s="6"/>
      <c r="F51" s="6"/>
      <c r="G51" s="22"/>
    </row>
    <row r="52" spans="2:7" x14ac:dyDescent="0.3">
      <c r="B52" s="6"/>
      <c r="C52" s="6"/>
      <c r="D52" s="6"/>
      <c r="E52" s="6"/>
      <c r="F52" s="6"/>
      <c r="G52" s="22"/>
    </row>
    <row r="53" spans="2:7" x14ac:dyDescent="0.3">
      <c r="B53" s="6"/>
      <c r="C53" s="6"/>
      <c r="D53" s="6"/>
      <c r="E53" s="6"/>
      <c r="F53" s="6"/>
      <c r="G53" s="22"/>
    </row>
    <row r="54" spans="2:7" x14ac:dyDescent="0.3">
      <c r="B54" s="6"/>
      <c r="C54" s="6"/>
      <c r="D54" s="6"/>
      <c r="E54" s="6"/>
      <c r="F54" s="6"/>
      <c r="G54" s="22"/>
    </row>
    <row r="55" spans="2:7" x14ac:dyDescent="0.3">
      <c r="B55" s="6"/>
      <c r="C55" s="6"/>
      <c r="D55" s="6"/>
      <c r="E55" s="6"/>
      <c r="F55" s="6"/>
      <c r="G55" s="22"/>
    </row>
    <row r="56" spans="2:7" x14ac:dyDescent="0.3">
      <c r="B56" s="6"/>
      <c r="C56" s="6"/>
      <c r="D56" s="6"/>
      <c r="E56" s="6"/>
      <c r="F56" s="6"/>
      <c r="G56" s="22"/>
    </row>
    <row r="57" spans="2:7" x14ac:dyDescent="0.3">
      <c r="B57" s="6"/>
      <c r="C57" s="6"/>
      <c r="D57" s="6"/>
      <c r="E57" s="6"/>
      <c r="F57" s="6"/>
      <c r="G57" s="22"/>
    </row>
    <row r="58" spans="2:7" x14ac:dyDescent="0.3">
      <c r="B58" s="6"/>
      <c r="C58" s="6"/>
      <c r="D58" s="6"/>
      <c r="E58" s="6"/>
      <c r="F58" s="6"/>
      <c r="G58" s="22"/>
    </row>
    <row r="59" spans="2:7" x14ac:dyDescent="0.3">
      <c r="B59" s="6"/>
      <c r="C59" s="6"/>
      <c r="D59" s="6"/>
      <c r="E59" s="6"/>
      <c r="F59" s="6"/>
      <c r="G59" s="22"/>
    </row>
    <row r="60" spans="2:7" x14ac:dyDescent="0.3">
      <c r="B60" s="6"/>
      <c r="C60" s="6"/>
      <c r="D60" s="6"/>
      <c r="E60" s="6"/>
      <c r="F60" s="6"/>
      <c r="G60" s="22"/>
    </row>
    <row r="61" spans="2:7" x14ac:dyDescent="0.3">
      <c r="B61" s="6"/>
      <c r="C61" s="6"/>
      <c r="D61" s="6"/>
      <c r="E61" s="6"/>
      <c r="F61" s="6"/>
      <c r="G61" s="22"/>
    </row>
    <row r="62" spans="2:7" x14ac:dyDescent="0.3">
      <c r="B62" s="6"/>
      <c r="C62" s="6"/>
      <c r="D62" s="6"/>
      <c r="E62" s="6"/>
      <c r="F62" s="6"/>
      <c r="G62" s="22"/>
    </row>
    <row r="63" spans="2:7" x14ac:dyDescent="0.3">
      <c r="B63" s="6"/>
      <c r="C63" s="6"/>
      <c r="D63" s="6"/>
      <c r="E63" s="6"/>
      <c r="F63" s="6"/>
      <c r="G63" s="22"/>
    </row>
    <row r="64" spans="2:7" x14ac:dyDescent="0.3">
      <c r="B64" s="6"/>
      <c r="C64" s="6"/>
      <c r="D64" s="6"/>
      <c r="E64" s="6"/>
      <c r="F64" s="6"/>
      <c r="G64" s="22"/>
    </row>
    <row r="65" spans="2:7" x14ac:dyDescent="0.3">
      <c r="B65" s="6"/>
      <c r="C65" s="6"/>
      <c r="D65" s="6"/>
      <c r="E65" s="6"/>
      <c r="F65" s="6"/>
      <c r="G65" s="22"/>
    </row>
    <row r="66" spans="2:7" x14ac:dyDescent="0.3">
      <c r="B66" s="6"/>
      <c r="C66" s="6"/>
      <c r="D66" s="6"/>
      <c r="E66" s="6"/>
      <c r="F66" s="6"/>
      <c r="G66" s="22"/>
    </row>
    <row r="67" spans="2:7" x14ac:dyDescent="0.3">
      <c r="B67" s="6"/>
      <c r="C67" s="6"/>
      <c r="D67" s="6"/>
      <c r="E67" s="6"/>
      <c r="F67" s="6"/>
      <c r="G67" s="22"/>
    </row>
    <row r="68" spans="2:7" x14ac:dyDescent="0.3">
      <c r="B68" s="6"/>
      <c r="C68" s="6"/>
      <c r="D68" s="6"/>
      <c r="E68" s="6"/>
      <c r="F68" s="6"/>
      <c r="G68" s="22"/>
    </row>
    <row r="69" spans="2:7" x14ac:dyDescent="0.3">
      <c r="B69" s="6"/>
      <c r="C69" s="6"/>
      <c r="D69" s="6"/>
      <c r="E69" s="6"/>
      <c r="F69" s="6"/>
      <c r="G69" s="22"/>
    </row>
    <row r="70" spans="2:7" x14ac:dyDescent="0.3">
      <c r="B70" s="6"/>
      <c r="C70" s="6"/>
      <c r="D70" s="6"/>
      <c r="E70" s="6"/>
      <c r="F70" s="6"/>
      <c r="G70" s="22"/>
    </row>
    <row r="71" spans="2:7" x14ac:dyDescent="0.3">
      <c r="B71" s="6"/>
      <c r="C71" s="6"/>
      <c r="D71" s="6"/>
      <c r="E71" s="6"/>
      <c r="F71" s="6"/>
      <c r="G71" s="22"/>
    </row>
    <row r="72" spans="2:7" x14ac:dyDescent="0.3">
      <c r="B72" s="6"/>
      <c r="C72" s="6"/>
      <c r="D72" s="6"/>
      <c r="E72" s="6"/>
      <c r="F72" s="6"/>
      <c r="G72" s="22"/>
    </row>
    <row r="73" spans="2:7" x14ac:dyDescent="0.3">
      <c r="B73" s="6"/>
      <c r="C73" s="6"/>
      <c r="D73" s="6"/>
      <c r="E73" s="6"/>
      <c r="F73" s="6"/>
      <c r="G73" s="22"/>
    </row>
    <row r="74" spans="2:7" x14ac:dyDescent="0.3">
      <c r="B74" s="6"/>
      <c r="C74" s="6"/>
      <c r="D74" s="6"/>
      <c r="E74" s="6"/>
      <c r="F74" s="6"/>
      <c r="G74" s="22"/>
    </row>
    <row r="75" spans="2:7" x14ac:dyDescent="0.3">
      <c r="B75" s="6"/>
      <c r="C75" s="6"/>
      <c r="D75" s="6"/>
      <c r="E75" s="6"/>
      <c r="F75" s="6"/>
      <c r="G75" s="22"/>
    </row>
    <row r="76" spans="2:7" x14ac:dyDescent="0.3">
      <c r="B76" s="6"/>
      <c r="C76" s="6"/>
      <c r="D76" s="6"/>
      <c r="E76" s="6"/>
      <c r="F76" s="6"/>
      <c r="G76" s="22"/>
    </row>
    <row r="77" spans="2:7" x14ac:dyDescent="0.3">
      <c r="B77" s="6"/>
      <c r="C77" s="6"/>
      <c r="D77" s="6"/>
      <c r="E77" s="6"/>
      <c r="F77" s="6"/>
      <c r="G77" s="22"/>
    </row>
    <row r="78" spans="2:7" x14ac:dyDescent="0.3">
      <c r="B78" s="6"/>
      <c r="C78" s="6"/>
      <c r="D78" s="6"/>
      <c r="E78" s="6"/>
      <c r="F78" s="6"/>
      <c r="G78" s="22"/>
    </row>
    <row r="79" spans="2:7" x14ac:dyDescent="0.3">
      <c r="B79" s="6"/>
      <c r="C79" s="6"/>
      <c r="D79" s="6"/>
      <c r="E79" s="6"/>
      <c r="F79" s="6"/>
      <c r="G79" s="22"/>
    </row>
    <row r="80" spans="2:7" x14ac:dyDescent="0.3">
      <c r="B80" s="6"/>
      <c r="C80" s="6"/>
      <c r="D80" s="6"/>
      <c r="E80" s="6"/>
      <c r="F80" s="6"/>
      <c r="G80" s="22"/>
    </row>
    <row r="81" spans="2:7" x14ac:dyDescent="0.3">
      <c r="B81" s="6"/>
      <c r="C81" s="6"/>
      <c r="D81" s="6"/>
      <c r="E81" s="6"/>
      <c r="F81" s="6"/>
      <c r="G81" s="22"/>
    </row>
    <row r="82" spans="2:7" x14ac:dyDescent="0.3">
      <c r="B82" s="6"/>
      <c r="C82" s="6"/>
      <c r="D82" s="6"/>
      <c r="E82" s="6"/>
      <c r="F82" s="6"/>
      <c r="G82" s="22"/>
    </row>
    <row r="83" spans="2:7" x14ac:dyDescent="0.3">
      <c r="B83" s="6"/>
      <c r="C83" s="6"/>
      <c r="D83" s="6"/>
      <c r="E83" s="6"/>
      <c r="F83" s="6"/>
      <c r="G83" s="22"/>
    </row>
    <row r="84" spans="2:7" x14ac:dyDescent="0.3">
      <c r="B84" s="6"/>
      <c r="C84" s="6"/>
      <c r="D84" s="6"/>
      <c r="E84" s="6"/>
      <c r="F84" s="6"/>
      <c r="G84" s="22"/>
    </row>
    <row r="85" spans="2:7" x14ac:dyDescent="0.3">
      <c r="B85" s="6"/>
      <c r="C85" s="6"/>
      <c r="D85" s="6"/>
      <c r="E85" s="6"/>
      <c r="F85" s="6"/>
      <c r="G85" s="22"/>
    </row>
    <row r="86" spans="2:7" x14ac:dyDescent="0.3">
      <c r="B86" s="6"/>
      <c r="C86" s="6"/>
      <c r="D86" s="6"/>
      <c r="E86" s="6"/>
      <c r="F86" s="6"/>
      <c r="G86" s="22"/>
    </row>
    <row r="87" spans="2:7" x14ac:dyDescent="0.3">
      <c r="B87" s="6"/>
      <c r="C87" s="6"/>
      <c r="D87" s="6"/>
      <c r="E87" s="6"/>
      <c r="F87" s="6"/>
      <c r="G87" s="22"/>
    </row>
    <row r="88" spans="2:7" x14ac:dyDescent="0.3">
      <c r="B88" s="6"/>
      <c r="C88" s="6"/>
      <c r="D88" s="6"/>
      <c r="E88" s="6"/>
      <c r="F88" s="6"/>
      <c r="G88" s="22"/>
    </row>
    <row r="89" spans="2:7" x14ac:dyDescent="0.3">
      <c r="B89" s="6"/>
      <c r="C89" s="6"/>
      <c r="D89" s="6"/>
      <c r="E89" s="6"/>
      <c r="F89" s="6"/>
      <c r="G89" s="22"/>
    </row>
    <row r="90" spans="2:7" x14ac:dyDescent="0.3">
      <c r="B90" s="6"/>
      <c r="C90" s="6"/>
      <c r="D90" s="6"/>
      <c r="E90" s="6"/>
      <c r="F90" s="6"/>
      <c r="G90" s="22"/>
    </row>
    <row r="91" spans="2:7" x14ac:dyDescent="0.3">
      <c r="B91" s="6"/>
      <c r="C91" s="6"/>
      <c r="D91" s="6"/>
      <c r="E91" s="6"/>
      <c r="F91" s="6"/>
      <c r="G91" s="22"/>
    </row>
    <row r="92" spans="2:7" x14ac:dyDescent="0.3">
      <c r="B92" s="6"/>
      <c r="C92" s="6"/>
      <c r="D92" s="6"/>
      <c r="E92" s="6"/>
      <c r="F92" s="6"/>
      <c r="G92" s="22"/>
    </row>
    <row r="93" spans="2:7" x14ac:dyDescent="0.3">
      <c r="B93" s="6"/>
      <c r="C93" s="6"/>
      <c r="D93" s="6"/>
      <c r="E93" s="6"/>
      <c r="F93" s="6"/>
      <c r="G93" s="22"/>
    </row>
    <row r="94" spans="2:7" x14ac:dyDescent="0.3">
      <c r="B94" s="6"/>
      <c r="C94" s="6"/>
      <c r="D94" s="6"/>
      <c r="E94" s="6"/>
      <c r="F94" s="6"/>
      <c r="G94" s="22"/>
    </row>
    <row r="95" spans="2:7" x14ac:dyDescent="0.3">
      <c r="B95" s="6"/>
      <c r="C95" s="6"/>
      <c r="D95" s="6"/>
      <c r="E95" s="6"/>
      <c r="F95" s="6"/>
      <c r="G95" s="22"/>
    </row>
    <row r="96" spans="2:7" x14ac:dyDescent="0.3">
      <c r="B96" s="6"/>
      <c r="C96" s="6"/>
      <c r="D96" s="6"/>
      <c r="E96" s="6"/>
      <c r="F96" s="6"/>
      <c r="G96" s="22"/>
    </row>
    <row r="97" spans="2:7" x14ac:dyDescent="0.3">
      <c r="B97" s="6"/>
      <c r="C97" s="6"/>
      <c r="D97" s="6"/>
      <c r="E97" s="6"/>
      <c r="F97" s="6"/>
      <c r="G97" s="22"/>
    </row>
    <row r="98" spans="2:7" x14ac:dyDescent="0.3">
      <c r="B98" s="6"/>
      <c r="C98" s="6"/>
      <c r="D98" s="6"/>
      <c r="E98" s="6"/>
      <c r="F98" s="6"/>
      <c r="G98" s="22"/>
    </row>
    <row r="99" spans="2:7" x14ac:dyDescent="0.3">
      <c r="B99" s="6"/>
      <c r="C99" s="6"/>
      <c r="D99" s="6"/>
      <c r="E99" s="6"/>
      <c r="F99" s="6"/>
      <c r="G99" s="22"/>
    </row>
    <row r="100" spans="2:7" x14ac:dyDescent="0.3">
      <c r="B100" s="6"/>
      <c r="C100" s="6"/>
      <c r="D100" s="6"/>
      <c r="E100" s="6"/>
      <c r="F100" s="6"/>
      <c r="G100" s="22"/>
    </row>
    <row r="101" spans="2:7" x14ac:dyDescent="0.3">
      <c r="B101" s="6"/>
      <c r="C101" s="6"/>
      <c r="D101" s="6"/>
      <c r="E101" s="6"/>
      <c r="F101" s="6"/>
      <c r="G101" s="22"/>
    </row>
    <row r="102" spans="2:7" x14ac:dyDescent="0.3">
      <c r="B102" s="6"/>
      <c r="C102" s="6"/>
      <c r="D102" s="6"/>
      <c r="E102" s="6"/>
      <c r="F102" s="6"/>
      <c r="G102" s="22"/>
    </row>
    <row r="103" spans="2:7" x14ac:dyDescent="0.3">
      <c r="B103" s="6"/>
      <c r="C103" s="6"/>
      <c r="D103" s="6"/>
      <c r="E103" s="6"/>
      <c r="F103" s="6"/>
      <c r="G103" s="22"/>
    </row>
    <row r="104" spans="2:7" x14ac:dyDescent="0.3">
      <c r="B104" s="6"/>
      <c r="C104" s="6"/>
      <c r="D104" s="6"/>
      <c r="E104" s="6"/>
      <c r="F104" s="6"/>
      <c r="G104" s="22"/>
    </row>
    <row r="105" spans="2:7" x14ac:dyDescent="0.3">
      <c r="B105" s="6"/>
      <c r="C105" s="6"/>
      <c r="D105" s="6"/>
      <c r="E105" s="6"/>
      <c r="F105" s="6"/>
      <c r="G105" s="22"/>
    </row>
    <row r="106" spans="2:7" x14ac:dyDescent="0.3">
      <c r="B106" s="6"/>
      <c r="C106" s="6"/>
      <c r="D106" s="6"/>
      <c r="E106" s="6"/>
      <c r="F106" s="6"/>
      <c r="G106" s="22"/>
    </row>
    <row r="107" spans="2:7" x14ac:dyDescent="0.3">
      <c r="B107" s="6"/>
      <c r="C107" s="6"/>
      <c r="D107" s="6"/>
      <c r="E107" s="6"/>
      <c r="F107" s="6"/>
      <c r="G107" s="22"/>
    </row>
    <row r="108" spans="2:7" x14ac:dyDescent="0.3">
      <c r="B108" s="6"/>
      <c r="C108" s="6"/>
      <c r="D108" s="6"/>
      <c r="E108" s="6"/>
      <c r="F108" s="6"/>
      <c r="G108" s="22"/>
    </row>
    <row r="109" spans="2:7" x14ac:dyDescent="0.3">
      <c r="B109" s="6"/>
      <c r="C109" s="6"/>
      <c r="D109" s="6"/>
      <c r="E109" s="6"/>
      <c r="F109" s="6"/>
      <c r="G109" s="22"/>
    </row>
    <row r="110" spans="2:7" x14ac:dyDescent="0.3">
      <c r="B110" s="6"/>
      <c r="C110" s="6"/>
      <c r="D110" s="6"/>
      <c r="E110" s="6"/>
      <c r="F110" s="6"/>
      <c r="G110" s="22"/>
    </row>
    <row r="111" spans="2:7" x14ac:dyDescent="0.3">
      <c r="B111" s="6"/>
      <c r="C111" s="6"/>
      <c r="D111" s="6"/>
      <c r="E111" s="6"/>
      <c r="F111" s="6"/>
      <c r="G111" s="22"/>
    </row>
    <row r="112" spans="2:7" x14ac:dyDescent="0.3">
      <c r="B112" s="6"/>
      <c r="C112" s="6"/>
      <c r="D112" s="6"/>
      <c r="E112" s="6"/>
      <c r="F112" s="6"/>
      <c r="G112" s="22"/>
    </row>
    <row r="113" spans="2:7" x14ac:dyDescent="0.3">
      <c r="B113" s="6"/>
      <c r="C113" s="6"/>
      <c r="D113" s="6"/>
      <c r="E113" s="6"/>
      <c r="F113" s="6"/>
      <c r="G113" s="22"/>
    </row>
    <row r="114" spans="2:7" x14ac:dyDescent="0.3">
      <c r="B114" s="6"/>
      <c r="C114" s="6"/>
      <c r="D114" s="6"/>
      <c r="E114" s="6"/>
      <c r="F114" s="6"/>
      <c r="G114" s="22"/>
    </row>
    <row r="115" spans="2:7" x14ac:dyDescent="0.3">
      <c r="B115" s="6"/>
      <c r="C115" s="6"/>
      <c r="D115" s="6"/>
      <c r="E115" s="6"/>
      <c r="F115" s="6"/>
      <c r="G115" s="22"/>
    </row>
    <row r="116" spans="2:7" x14ac:dyDescent="0.3">
      <c r="B116" s="6"/>
      <c r="C116" s="6"/>
      <c r="D116" s="6"/>
      <c r="E116" s="6"/>
      <c r="F116" s="6"/>
      <c r="G116" s="22"/>
    </row>
    <row r="117" spans="2:7" x14ac:dyDescent="0.3">
      <c r="B117" s="6"/>
      <c r="C117" s="6"/>
      <c r="D117" s="6"/>
      <c r="E117" s="6"/>
      <c r="F117" s="6"/>
      <c r="G117" s="22"/>
    </row>
    <row r="118" spans="2:7" x14ac:dyDescent="0.3">
      <c r="B118" s="6"/>
      <c r="C118" s="6"/>
      <c r="D118" s="6"/>
      <c r="E118" s="6"/>
      <c r="F118" s="6"/>
      <c r="G118" s="22"/>
    </row>
    <row r="119" spans="2:7" x14ac:dyDescent="0.3">
      <c r="B119" s="6"/>
      <c r="C119" s="6"/>
      <c r="D119" s="6"/>
      <c r="E119" s="6"/>
      <c r="F119" s="6"/>
      <c r="G119" s="22"/>
    </row>
    <row r="120" spans="2:7" x14ac:dyDescent="0.3">
      <c r="B120" s="6"/>
      <c r="C120" s="6"/>
      <c r="D120" s="6"/>
      <c r="E120" s="6"/>
      <c r="F120" s="6"/>
      <c r="G120" s="22"/>
    </row>
    <row r="121" spans="2:7" x14ac:dyDescent="0.3">
      <c r="B121" s="6"/>
      <c r="C121" s="6"/>
      <c r="D121" s="6"/>
      <c r="E121" s="6"/>
      <c r="F121" s="6"/>
      <c r="G121" s="22"/>
    </row>
    <row r="122" spans="2:7" x14ac:dyDescent="0.3">
      <c r="B122" s="6"/>
      <c r="C122" s="6"/>
      <c r="D122" s="6"/>
      <c r="E122" s="6"/>
      <c r="F122" s="6"/>
      <c r="G122" s="22"/>
    </row>
    <row r="123" spans="2:7" x14ac:dyDescent="0.3">
      <c r="B123" s="6"/>
      <c r="C123" s="6"/>
      <c r="D123" s="6"/>
      <c r="E123" s="6"/>
      <c r="F123" s="6"/>
      <c r="G123" s="22"/>
    </row>
    <row r="124" spans="2:7" x14ac:dyDescent="0.3">
      <c r="B124" s="6"/>
      <c r="C124" s="6"/>
      <c r="D124" s="6"/>
      <c r="E124" s="6"/>
      <c r="F124" s="6"/>
      <c r="G124" s="22"/>
    </row>
    <row r="125" spans="2:7" x14ac:dyDescent="0.3">
      <c r="B125" s="6"/>
      <c r="C125" s="6"/>
      <c r="D125" s="6"/>
      <c r="E125" s="6"/>
      <c r="F125" s="6"/>
      <c r="G125" s="22"/>
    </row>
    <row r="126" spans="2:7" x14ac:dyDescent="0.3">
      <c r="B126" s="6"/>
      <c r="C126" s="6"/>
      <c r="D126" s="6"/>
      <c r="E126" s="6"/>
      <c r="F126" s="6"/>
      <c r="G126" s="22"/>
    </row>
    <row r="127" spans="2:7" x14ac:dyDescent="0.3">
      <c r="B127" s="6"/>
      <c r="C127" s="6"/>
      <c r="D127" s="6"/>
      <c r="E127" s="6"/>
      <c r="F127" s="6"/>
      <c r="G127" s="22"/>
    </row>
    <row r="128" spans="2:7" x14ac:dyDescent="0.3">
      <c r="B128" s="6"/>
      <c r="C128" s="6"/>
      <c r="D128" s="6"/>
      <c r="E128" s="6"/>
      <c r="F128" s="6"/>
      <c r="G128" s="22"/>
    </row>
    <row r="129" spans="2:7" x14ac:dyDescent="0.3">
      <c r="B129" s="6"/>
      <c r="C129" s="6"/>
      <c r="D129" s="6"/>
      <c r="E129" s="6"/>
      <c r="F129" s="6"/>
      <c r="G129" s="22"/>
    </row>
    <row r="130" spans="2:7" x14ac:dyDescent="0.3">
      <c r="B130" s="6"/>
      <c r="C130" s="6"/>
      <c r="D130" s="6"/>
      <c r="E130" s="6"/>
      <c r="F130" s="6"/>
      <c r="G130" s="22"/>
    </row>
    <row r="131" spans="2:7" x14ac:dyDescent="0.3">
      <c r="B131" s="6"/>
      <c r="C131" s="6"/>
      <c r="D131" s="6"/>
      <c r="E131" s="6"/>
      <c r="F131" s="6"/>
      <c r="G131" s="22"/>
    </row>
    <row r="132" spans="2:7" x14ac:dyDescent="0.3">
      <c r="B132" s="6"/>
      <c r="C132" s="6"/>
      <c r="D132" s="6"/>
      <c r="E132" s="6"/>
      <c r="F132" s="6"/>
      <c r="G132" s="22"/>
    </row>
    <row r="133" spans="2:7" x14ac:dyDescent="0.3">
      <c r="B133" s="6"/>
      <c r="C133" s="6"/>
      <c r="D133" s="6"/>
      <c r="E133" s="6"/>
      <c r="F133" s="6"/>
      <c r="G133" s="22"/>
    </row>
    <row r="134" spans="2:7" x14ac:dyDescent="0.3">
      <c r="B134" s="6"/>
      <c r="C134" s="6"/>
      <c r="D134" s="6"/>
      <c r="E134" s="6"/>
      <c r="F134" s="6"/>
      <c r="G134" s="22"/>
    </row>
    <row r="135" spans="2:7" x14ac:dyDescent="0.3">
      <c r="B135" s="6"/>
      <c r="C135" s="6"/>
      <c r="D135" s="6"/>
      <c r="E135" s="6"/>
      <c r="F135" s="6"/>
      <c r="G135" s="22"/>
    </row>
    <row r="136" spans="2:7" x14ac:dyDescent="0.3">
      <c r="B136" s="6"/>
      <c r="C136" s="6"/>
      <c r="D136" s="6"/>
      <c r="E136" s="6"/>
      <c r="F136" s="6"/>
      <c r="G136" s="22"/>
    </row>
    <row r="137" spans="2:7" x14ac:dyDescent="0.3">
      <c r="B137" s="6"/>
      <c r="C137" s="6"/>
      <c r="D137" s="6"/>
      <c r="E137" s="6"/>
      <c r="F137" s="6"/>
      <c r="G137" s="22"/>
    </row>
    <row r="138" spans="2:7" x14ac:dyDescent="0.3">
      <c r="B138" s="6"/>
      <c r="C138" s="6"/>
      <c r="D138" s="6"/>
      <c r="E138" s="6"/>
      <c r="F138" s="6"/>
      <c r="G138" s="22"/>
    </row>
    <row r="139" spans="2:7" x14ac:dyDescent="0.3">
      <c r="B139" s="6"/>
      <c r="C139" s="6"/>
      <c r="D139" s="6"/>
      <c r="E139" s="6"/>
      <c r="F139" s="6"/>
      <c r="G139" s="22"/>
    </row>
    <row r="140" spans="2:7" x14ac:dyDescent="0.3">
      <c r="B140" s="6"/>
      <c r="C140" s="6"/>
      <c r="D140" s="6"/>
      <c r="E140" s="6"/>
      <c r="F140" s="6"/>
      <c r="G140" s="22"/>
    </row>
    <row r="141" spans="2:7" x14ac:dyDescent="0.3">
      <c r="B141" s="6"/>
      <c r="C141" s="6"/>
      <c r="D141" s="6"/>
      <c r="E141" s="6"/>
      <c r="F141" s="6"/>
      <c r="G141" s="22"/>
    </row>
    <row r="142" spans="2:7" x14ac:dyDescent="0.3">
      <c r="B142" s="6"/>
      <c r="C142" s="6"/>
      <c r="D142" s="6"/>
      <c r="E142" s="6"/>
      <c r="F142" s="6"/>
      <c r="G142" s="22"/>
    </row>
    <row r="143" spans="2:7" x14ac:dyDescent="0.3">
      <c r="B143" s="6"/>
      <c r="C143" s="6"/>
      <c r="D143" s="6"/>
      <c r="E143" s="6"/>
      <c r="F143" s="6"/>
      <c r="G143" s="22"/>
    </row>
    <row r="144" spans="2:7" x14ac:dyDescent="0.3">
      <c r="B144" s="6"/>
      <c r="C144" s="6"/>
      <c r="D144" s="6"/>
      <c r="E144" s="6"/>
      <c r="F144" s="6"/>
      <c r="G144" s="22"/>
    </row>
    <row r="145" spans="2:7" x14ac:dyDescent="0.3">
      <c r="B145" s="6"/>
      <c r="C145" s="6"/>
      <c r="D145" s="6"/>
      <c r="E145" s="6"/>
      <c r="F145" s="6"/>
      <c r="G145" s="22"/>
    </row>
    <row r="146" spans="2:7" x14ac:dyDescent="0.3">
      <c r="B146" s="6"/>
      <c r="C146" s="6"/>
      <c r="D146" s="6"/>
      <c r="E146" s="6"/>
      <c r="F146" s="6"/>
      <c r="G146" s="22"/>
    </row>
    <row r="147" spans="2:7" x14ac:dyDescent="0.3">
      <c r="B147" s="6"/>
      <c r="C147" s="6"/>
      <c r="D147" s="6"/>
      <c r="E147" s="6"/>
      <c r="F147" s="6"/>
      <c r="G147" s="22"/>
    </row>
    <row r="148" spans="2:7" x14ac:dyDescent="0.3">
      <c r="B148" s="6"/>
      <c r="C148" s="6"/>
      <c r="D148" s="6"/>
      <c r="E148" s="6"/>
      <c r="F148" s="6"/>
      <c r="G148" s="22"/>
    </row>
    <row r="149" spans="2:7" x14ac:dyDescent="0.3">
      <c r="B149" s="6"/>
      <c r="C149" s="6"/>
      <c r="D149" s="6"/>
      <c r="E149" s="6"/>
      <c r="F149" s="6"/>
      <c r="G149" s="22"/>
    </row>
    <row r="150" spans="2:7" x14ac:dyDescent="0.3">
      <c r="B150" s="6"/>
      <c r="C150" s="6"/>
      <c r="D150" s="6"/>
      <c r="E150" s="6"/>
      <c r="F150" s="6"/>
      <c r="G150" s="22"/>
    </row>
    <row r="151" spans="2:7" x14ac:dyDescent="0.3">
      <c r="B151" s="6"/>
      <c r="C151" s="6"/>
      <c r="D151" s="6"/>
      <c r="E151" s="6"/>
      <c r="F151" s="6"/>
      <c r="G151" s="22"/>
    </row>
    <row r="152" spans="2:7" x14ac:dyDescent="0.3">
      <c r="B152" s="6"/>
      <c r="C152" s="6"/>
      <c r="D152" s="6"/>
      <c r="E152" s="6"/>
      <c r="F152" s="6"/>
      <c r="G152" s="22"/>
    </row>
    <row r="153" spans="2:7" x14ac:dyDescent="0.3">
      <c r="B153" s="6"/>
      <c r="C153" s="6"/>
      <c r="D153" s="6"/>
      <c r="E153" s="6"/>
      <c r="F153" s="6"/>
      <c r="G153" s="22"/>
    </row>
    <row r="154" spans="2:7" x14ac:dyDescent="0.3">
      <c r="B154" s="6"/>
      <c r="C154" s="6"/>
      <c r="D154" s="6"/>
      <c r="E154" s="6"/>
      <c r="F154" s="6"/>
      <c r="G154" s="22"/>
    </row>
    <row r="155" spans="2:7" x14ac:dyDescent="0.3">
      <c r="B155" s="6"/>
      <c r="C155" s="6"/>
      <c r="D155" s="6"/>
      <c r="E155" s="6"/>
      <c r="F155" s="6"/>
      <c r="G155" s="22"/>
    </row>
    <row r="156" spans="2:7" x14ac:dyDescent="0.3">
      <c r="B156" s="6"/>
      <c r="C156" s="6"/>
      <c r="D156" s="6"/>
      <c r="E156" s="6"/>
      <c r="F156" s="6"/>
      <c r="G156" s="22"/>
    </row>
    <row r="157" spans="2:7" x14ac:dyDescent="0.3">
      <c r="B157" s="6"/>
      <c r="C157" s="6"/>
      <c r="D157" s="6"/>
      <c r="E157" s="6"/>
      <c r="F157" s="6"/>
      <c r="G157" s="22"/>
    </row>
    <row r="158" spans="2:7" x14ac:dyDescent="0.3">
      <c r="B158" s="6"/>
      <c r="C158" s="6"/>
      <c r="D158" s="6"/>
      <c r="E158" s="6"/>
      <c r="F158" s="6"/>
      <c r="G158" s="22"/>
    </row>
    <row r="159" spans="2:7" x14ac:dyDescent="0.3">
      <c r="B159" s="6"/>
      <c r="C159" s="6"/>
      <c r="D159" s="6"/>
      <c r="E159" s="6"/>
      <c r="F159" s="6"/>
      <c r="G159" s="22"/>
    </row>
    <row r="160" spans="2:7" x14ac:dyDescent="0.3">
      <c r="B160" s="6"/>
      <c r="C160" s="6"/>
      <c r="D160" s="6"/>
      <c r="E160" s="6"/>
      <c r="F160" s="6"/>
      <c r="G160" s="22"/>
    </row>
  </sheetData>
  <mergeCells count="6">
    <mergeCell ref="A1:J1"/>
    <mergeCell ref="A20:J20"/>
    <mergeCell ref="A27:J27"/>
    <mergeCell ref="A12:J12"/>
    <mergeCell ref="A3:J3"/>
    <mergeCell ref="A6:J6"/>
  </mergeCells>
  <conditionalFormatting sqref="A4 A7:A10 A13:A18 A21:A25 A28:A29">
    <cfRule type="cellIs" dxfId="7" priority="1" operator="lessThan">
      <formula>4</formula>
    </cfRule>
    <cfRule type="cellIs" dxfId="6" priority="2" operator="greaterThan">
      <formula>15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4B8B7-47A8-4695-90B0-2B0D8DFAA4DE}">
  <dimension ref="A1:J17"/>
  <sheetViews>
    <sheetView workbookViewId="0">
      <pane ySplit="2" topLeftCell="A3" activePane="bottomLeft" state="frozen"/>
      <selection pane="bottomLeft" activeCell="F17" sqref="F17"/>
    </sheetView>
  </sheetViews>
  <sheetFormatPr defaultRowHeight="14.4" x14ac:dyDescent="0.3"/>
  <cols>
    <col min="1" max="1" width="16.88671875" customWidth="1"/>
    <col min="2" max="2" width="23.33203125" customWidth="1"/>
    <col min="3" max="3" width="20.88671875" customWidth="1"/>
    <col min="4" max="4" width="21.109375" customWidth="1"/>
    <col min="5" max="5" width="24.77734375" customWidth="1"/>
    <col min="6" max="6" width="17.77734375" customWidth="1"/>
    <col min="7" max="7" width="13.5546875" customWidth="1"/>
    <col min="8" max="8" width="17.44140625" customWidth="1"/>
    <col min="9" max="9" width="15.5546875" hidden="1" customWidth="1"/>
    <col min="10" max="10" width="19.88671875" customWidth="1"/>
  </cols>
  <sheetData>
    <row r="1" spans="1:10" ht="33.6" customHeight="1" x14ac:dyDescent="0.3">
      <c r="A1" s="63" t="s">
        <v>35</v>
      </c>
      <c r="B1" s="63"/>
      <c r="C1" s="63"/>
      <c r="D1" s="63"/>
      <c r="E1" s="63"/>
      <c r="F1" s="63"/>
      <c r="G1" s="63"/>
      <c r="H1" s="63"/>
      <c r="I1" s="63"/>
      <c r="J1" s="63"/>
    </row>
    <row r="2" spans="1:10" ht="37.799999999999997" customHeight="1" x14ac:dyDescent="0.3">
      <c r="A2" s="14" t="s">
        <v>30</v>
      </c>
      <c r="B2" s="14" t="s">
        <v>22</v>
      </c>
      <c r="C2" s="15" t="s">
        <v>0</v>
      </c>
      <c r="D2" s="15" t="s">
        <v>32</v>
      </c>
      <c r="E2" s="15" t="s">
        <v>28</v>
      </c>
      <c r="F2" s="17" t="s">
        <v>36</v>
      </c>
      <c r="G2" s="20" t="s">
        <v>1</v>
      </c>
      <c r="H2" s="21" t="s">
        <v>2</v>
      </c>
      <c r="I2" s="40" t="s">
        <v>31</v>
      </c>
      <c r="J2" s="18" t="s">
        <v>23</v>
      </c>
    </row>
    <row r="3" spans="1:10" ht="22.8" x14ac:dyDescent="0.3">
      <c r="A3" s="66" t="s">
        <v>37</v>
      </c>
      <c r="B3" s="66"/>
      <c r="C3" s="66"/>
      <c r="D3" s="66"/>
      <c r="E3" s="66"/>
      <c r="F3" s="66"/>
      <c r="G3" s="66"/>
      <c r="H3" s="66"/>
      <c r="I3" s="66"/>
      <c r="J3" s="66"/>
    </row>
    <row r="4" spans="1:10" ht="25.2" customHeight="1" x14ac:dyDescent="0.3">
      <c r="A4" s="35">
        <v>1</v>
      </c>
      <c r="B4" s="34">
        <v>3</v>
      </c>
      <c r="C4" s="8" t="s">
        <v>34</v>
      </c>
      <c r="D4" s="8" t="s">
        <v>4</v>
      </c>
      <c r="E4" s="8" t="s">
        <v>5</v>
      </c>
      <c r="F4" s="8" t="s">
        <v>6</v>
      </c>
      <c r="G4" s="23">
        <v>0.998</v>
      </c>
      <c r="H4" s="24">
        <v>0.99519999999999997</v>
      </c>
      <c r="I4" s="39">
        <f t="shared" ref="I4" si="0">(G4 * 0.35) + (H4 * 0.65)</f>
        <v>0.99618000000000007</v>
      </c>
      <c r="J4" s="2"/>
    </row>
    <row r="5" spans="1:10" ht="24" customHeight="1" x14ac:dyDescent="0.3">
      <c r="A5" s="35">
        <v>2</v>
      </c>
      <c r="B5" s="34">
        <v>1</v>
      </c>
      <c r="C5" s="8" t="s">
        <v>3</v>
      </c>
      <c r="D5" s="8" t="s">
        <v>10</v>
      </c>
      <c r="E5" s="8" t="s">
        <v>5</v>
      </c>
      <c r="F5" s="8" t="s">
        <v>6</v>
      </c>
      <c r="G5" s="23">
        <v>0.99909999999999999</v>
      </c>
      <c r="H5" s="24">
        <v>0.99370000000000003</v>
      </c>
      <c r="I5" s="39">
        <f>(G5 * 0.35) + (H5 * 0.65)</f>
        <v>0.99558999999999997</v>
      </c>
      <c r="J5" s="2"/>
    </row>
    <row r="6" spans="1:10" ht="28.8" customHeight="1" x14ac:dyDescent="0.3">
      <c r="A6" s="35">
        <v>3</v>
      </c>
      <c r="B6" s="34">
        <v>1</v>
      </c>
      <c r="C6" s="8" t="s">
        <v>8</v>
      </c>
      <c r="D6" s="8" t="s">
        <v>4</v>
      </c>
      <c r="E6" s="8" t="s">
        <v>5</v>
      </c>
      <c r="F6" s="8" t="s">
        <v>6</v>
      </c>
      <c r="G6" s="23">
        <v>0.99850000000000005</v>
      </c>
      <c r="H6" s="24">
        <v>0.99490000000000001</v>
      </c>
      <c r="I6" s="39">
        <f>(G6 * 0.35) + (H6 * 0.65)</f>
        <v>0.99616000000000005</v>
      </c>
      <c r="J6" s="2"/>
    </row>
    <row r="7" spans="1:10" ht="28.2" customHeight="1" x14ac:dyDescent="0.3">
      <c r="A7" s="35">
        <v>18</v>
      </c>
      <c r="B7" s="34">
        <v>1</v>
      </c>
      <c r="C7" s="8" t="s">
        <v>3</v>
      </c>
      <c r="D7" s="8" t="s">
        <v>11</v>
      </c>
      <c r="E7" s="8" t="s">
        <v>5</v>
      </c>
      <c r="F7" s="8" t="s">
        <v>6</v>
      </c>
      <c r="G7" s="23">
        <v>0.3574</v>
      </c>
      <c r="H7" s="24">
        <v>0.34589999999999999</v>
      </c>
      <c r="I7" s="39">
        <f t="shared" ref="I7" si="1">(G7 * 0.35) + (H7 * 0.65)</f>
        <v>0.34992499999999999</v>
      </c>
      <c r="J7" s="2"/>
    </row>
    <row r="8" spans="1:10" ht="29.4" customHeight="1" x14ac:dyDescent="0.3">
      <c r="A8" s="35">
        <v>17</v>
      </c>
      <c r="B8" s="35">
        <v>1</v>
      </c>
      <c r="C8" s="9" t="s">
        <v>3</v>
      </c>
      <c r="D8" s="9" t="s">
        <v>4</v>
      </c>
      <c r="E8" s="9" t="s">
        <v>15</v>
      </c>
      <c r="F8" s="9" t="s">
        <v>6</v>
      </c>
      <c r="G8" s="23">
        <v>0.33710000000000001</v>
      </c>
      <c r="H8" s="24">
        <v>0.33510000000000001</v>
      </c>
      <c r="I8" s="39">
        <f>(G8 * 0.35) + (H8 * 0.65)</f>
        <v>0.33579999999999999</v>
      </c>
      <c r="J8" s="2"/>
    </row>
    <row r="9" spans="1:10" ht="27.6" customHeight="1" x14ac:dyDescent="0.3">
      <c r="A9" s="35">
        <v>16</v>
      </c>
      <c r="B9" s="34">
        <v>1</v>
      </c>
      <c r="C9" s="8" t="s">
        <v>3</v>
      </c>
      <c r="D9" s="8" t="s">
        <v>4</v>
      </c>
      <c r="E9" s="8" t="s">
        <v>19</v>
      </c>
      <c r="F9" s="8" t="s">
        <v>6</v>
      </c>
      <c r="G9" s="23">
        <v>0.34770000000000001</v>
      </c>
      <c r="H9" s="24">
        <v>0.35</v>
      </c>
      <c r="I9" s="39">
        <f>(G9 * 0.35) + (H9 * 0.65)</f>
        <v>0.34919499999999998</v>
      </c>
      <c r="J9" s="2"/>
    </row>
    <row r="11" spans="1:10" ht="22.8" x14ac:dyDescent="0.3">
      <c r="A11" s="66" t="s">
        <v>38</v>
      </c>
      <c r="B11" s="66"/>
      <c r="C11" s="66"/>
      <c r="D11" s="66"/>
      <c r="E11" s="66"/>
      <c r="F11" s="66"/>
      <c r="G11" s="66"/>
      <c r="H11" s="66"/>
      <c r="I11" s="66"/>
      <c r="J11" s="66"/>
    </row>
    <row r="12" spans="1:10" ht="30" customHeight="1" x14ac:dyDescent="0.3">
      <c r="A12" s="35">
        <v>1</v>
      </c>
      <c r="B12" s="34">
        <v>3</v>
      </c>
      <c r="C12" s="8" t="s">
        <v>34</v>
      </c>
      <c r="D12" s="8" t="s">
        <v>4</v>
      </c>
      <c r="E12" s="8" t="s">
        <v>5</v>
      </c>
      <c r="F12" s="8" t="s">
        <v>6</v>
      </c>
      <c r="G12" s="23">
        <v>0.99780000000000002</v>
      </c>
      <c r="H12" s="24">
        <v>0.99370000000000003</v>
      </c>
      <c r="I12" s="39">
        <f t="shared" ref="I12" si="2">(G12 * 0.35) + (H12 * 0.65)</f>
        <v>0.9951350000000001</v>
      </c>
      <c r="J12" s="2"/>
    </row>
    <row r="13" spans="1:10" ht="23.4" customHeight="1" x14ac:dyDescent="0.3">
      <c r="A13" s="35">
        <v>1</v>
      </c>
      <c r="B13" s="34">
        <v>1</v>
      </c>
      <c r="C13" s="8" t="s">
        <v>3</v>
      </c>
      <c r="D13" s="8" t="s">
        <v>10</v>
      </c>
      <c r="E13" s="8" t="s">
        <v>5</v>
      </c>
      <c r="F13" s="8" t="s">
        <v>6</v>
      </c>
      <c r="G13" s="23">
        <v>0.99890000000000001</v>
      </c>
      <c r="H13" s="24">
        <v>0.99390000000000001</v>
      </c>
      <c r="I13" s="39">
        <f>(G13 * 0.35) + (H13 * 0.65)</f>
        <v>0.99565000000000003</v>
      </c>
      <c r="J13" s="2"/>
    </row>
    <row r="14" spans="1:10" ht="23.4" customHeight="1" x14ac:dyDescent="0.3">
      <c r="A14" s="35">
        <v>1</v>
      </c>
      <c r="B14" s="34">
        <v>1</v>
      </c>
      <c r="C14" s="8" t="s">
        <v>8</v>
      </c>
      <c r="D14" s="8" t="s">
        <v>4</v>
      </c>
      <c r="E14" s="8" t="s">
        <v>5</v>
      </c>
      <c r="F14" s="8" t="s">
        <v>6</v>
      </c>
      <c r="G14" s="23">
        <v>0.99790000000000001</v>
      </c>
      <c r="H14" s="24">
        <v>0.99470000000000003</v>
      </c>
      <c r="I14" s="39">
        <f>(G14 * 0.35) + (H14 * 0.65)</f>
        <v>0.99581999999999993</v>
      </c>
      <c r="J14" s="2"/>
    </row>
    <row r="15" spans="1:10" ht="29.4" customHeight="1" x14ac:dyDescent="0.3">
      <c r="A15" s="35">
        <v>18</v>
      </c>
      <c r="B15" s="34">
        <v>1</v>
      </c>
      <c r="C15" s="8" t="s">
        <v>3</v>
      </c>
      <c r="D15" s="8" t="s">
        <v>11</v>
      </c>
      <c r="E15" s="8" t="s">
        <v>5</v>
      </c>
      <c r="F15" s="8" t="s">
        <v>6</v>
      </c>
      <c r="G15" s="23">
        <v>0.36430000000000001</v>
      </c>
      <c r="H15" s="24">
        <v>0.3705</v>
      </c>
      <c r="I15" s="39">
        <f t="shared" ref="I15" si="3">(G15 * 0.35) + (H15 * 0.65)</f>
        <v>0.36833000000000005</v>
      </c>
      <c r="J15" s="2"/>
    </row>
    <row r="16" spans="1:10" ht="22.2" customHeight="1" x14ac:dyDescent="0.3">
      <c r="A16" s="35">
        <v>17</v>
      </c>
      <c r="B16" s="35">
        <v>1</v>
      </c>
      <c r="C16" s="9" t="s">
        <v>3</v>
      </c>
      <c r="D16" s="9" t="s">
        <v>4</v>
      </c>
      <c r="E16" s="9" t="s">
        <v>15</v>
      </c>
      <c r="F16" s="9" t="s">
        <v>6</v>
      </c>
      <c r="G16" s="23">
        <v>0.33239999999999997</v>
      </c>
      <c r="H16" s="24">
        <v>0.30570000000000003</v>
      </c>
      <c r="I16" s="39">
        <f>(G16 * 0.35) + (H16 * 0.65)</f>
        <v>0.31504500000000002</v>
      </c>
      <c r="J16" s="2"/>
    </row>
    <row r="17" spans="1:10" ht="26.4" customHeight="1" x14ac:dyDescent="0.3">
      <c r="A17" s="35">
        <v>16</v>
      </c>
      <c r="B17" s="34">
        <v>1</v>
      </c>
      <c r="C17" s="8" t="s">
        <v>3</v>
      </c>
      <c r="D17" s="8" t="s">
        <v>4</v>
      </c>
      <c r="E17" s="8" t="s">
        <v>19</v>
      </c>
      <c r="F17" s="8" t="s">
        <v>6</v>
      </c>
      <c r="G17" s="23">
        <v>0.33929999999999999</v>
      </c>
      <c r="H17" s="24">
        <v>0.3296</v>
      </c>
      <c r="I17" s="39">
        <f>(G17 * 0.35) + (H17 * 0.65)</f>
        <v>0.33299499999999999</v>
      </c>
      <c r="J17" s="2"/>
    </row>
  </sheetData>
  <mergeCells count="3">
    <mergeCell ref="A1:J1"/>
    <mergeCell ref="A3:J3"/>
    <mergeCell ref="A11:J11"/>
  </mergeCells>
  <conditionalFormatting sqref="A4:A9">
    <cfRule type="cellIs" dxfId="5" priority="7" operator="lessThan">
      <formula>4</formula>
    </cfRule>
    <cfRule type="cellIs" dxfId="4" priority="8" operator="greaterThan">
      <formula>15</formula>
    </cfRule>
  </conditionalFormatting>
  <conditionalFormatting sqref="A12:A17">
    <cfRule type="cellIs" dxfId="3" priority="1" operator="lessThan">
      <formula>4</formula>
    </cfRule>
    <cfRule type="cellIs" dxfId="2" priority="2" operator="greaterThan">
      <formula>15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5F92F-8D71-4EB0-8FF2-E3F4D915702E}">
  <dimension ref="A1:J7"/>
  <sheetViews>
    <sheetView workbookViewId="0">
      <selection activeCell="H16" sqref="H16"/>
    </sheetView>
  </sheetViews>
  <sheetFormatPr defaultRowHeight="14.4" x14ac:dyDescent="0.3"/>
  <cols>
    <col min="2" max="2" width="24" customWidth="1"/>
    <col min="3" max="3" width="13.21875" customWidth="1"/>
    <col min="4" max="4" width="16" customWidth="1"/>
    <col min="5" max="5" width="25.44140625" customWidth="1"/>
    <col min="6" max="6" width="12.109375" customWidth="1"/>
    <col min="7" max="7" width="15" customWidth="1"/>
    <col min="8" max="8" width="20.88671875" customWidth="1"/>
    <col min="9" max="9" width="19.77734375" customWidth="1"/>
    <col min="10" max="10" width="60.88671875" customWidth="1"/>
  </cols>
  <sheetData>
    <row r="1" spans="1:10" ht="33.6" customHeight="1" thickBot="1" x14ac:dyDescent="0.35">
      <c r="A1" s="63" t="s">
        <v>39</v>
      </c>
      <c r="B1" s="63"/>
      <c r="C1" s="63"/>
      <c r="D1" s="63"/>
      <c r="E1" s="63"/>
      <c r="F1" s="63"/>
      <c r="G1" s="63"/>
      <c r="H1" s="63"/>
      <c r="I1" s="63"/>
      <c r="J1" s="43"/>
    </row>
    <row r="2" spans="1:10" ht="16.2" customHeight="1" thickTop="1" x14ac:dyDescent="0.3">
      <c r="A2" s="67" t="s">
        <v>40</v>
      </c>
      <c r="B2" s="67" t="s">
        <v>22</v>
      </c>
      <c r="C2" s="73" t="s">
        <v>0</v>
      </c>
      <c r="D2" s="73" t="s">
        <v>32</v>
      </c>
      <c r="E2" s="73" t="s">
        <v>28</v>
      </c>
      <c r="F2" s="71" t="s">
        <v>36</v>
      </c>
      <c r="G2" s="69" t="s">
        <v>41</v>
      </c>
      <c r="H2" s="75" t="s">
        <v>42</v>
      </c>
      <c r="I2" s="75"/>
      <c r="J2" s="41"/>
    </row>
    <row r="3" spans="1:10" ht="24" customHeight="1" thickBot="1" x14ac:dyDescent="0.35">
      <c r="A3" s="68"/>
      <c r="B3" s="68"/>
      <c r="C3" s="74"/>
      <c r="D3" s="74"/>
      <c r="E3" s="74"/>
      <c r="F3" s="72"/>
      <c r="G3" s="70"/>
      <c r="H3" s="45" t="s">
        <v>43</v>
      </c>
      <c r="I3" s="44" t="s">
        <v>44</v>
      </c>
      <c r="J3" s="42"/>
    </row>
    <row r="4" spans="1:10" ht="25.8" customHeight="1" thickTop="1" x14ac:dyDescent="0.3">
      <c r="A4" s="35">
        <v>1</v>
      </c>
      <c r="B4" s="51">
        <v>3</v>
      </c>
      <c r="C4" s="52" t="s">
        <v>34</v>
      </c>
      <c r="D4" s="52" t="s">
        <v>4</v>
      </c>
      <c r="E4" s="52" t="s">
        <v>5</v>
      </c>
      <c r="F4" s="8" t="s">
        <v>6</v>
      </c>
      <c r="G4" s="47">
        <v>0.93</v>
      </c>
      <c r="H4" s="46">
        <v>0.99870000000000003</v>
      </c>
      <c r="I4" s="50">
        <v>0.99609999999999999</v>
      </c>
    </row>
    <row r="5" spans="1:10" ht="26.4" customHeight="1" x14ac:dyDescent="0.3">
      <c r="A5" s="35">
        <v>2</v>
      </c>
      <c r="B5" s="51">
        <v>1</v>
      </c>
      <c r="C5" s="52" t="s">
        <v>3</v>
      </c>
      <c r="D5" s="52" t="s">
        <v>10</v>
      </c>
      <c r="E5" s="52" t="s">
        <v>5</v>
      </c>
      <c r="F5" s="8" t="s">
        <v>6</v>
      </c>
      <c r="G5" s="48">
        <v>1</v>
      </c>
      <c r="H5" s="46">
        <v>0.99929999999999997</v>
      </c>
      <c r="I5" s="50">
        <v>0.99550000000000005</v>
      </c>
    </row>
    <row r="6" spans="1:10" ht="25.2" customHeight="1" thickBot="1" x14ac:dyDescent="0.35">
      <c r="A6" s="35">
        <v>3</v>
      </c>
      <c r="B6" s="51">
        <v>1</v>
      </c>
      <c r="C6" s="52" t="s">
        <v>8</v>
      </c>
      <c r="D6" s="52" t="s">
        <v>4</v>
      </c>
      <c r="E6" s="52" t="s">
        <v>5</v>
      </c>
      <c r="F6" s="8" t="s">
        <v>6</v>
      </c>
      <c r="G6" s="49">
        <v>1</v>
      </c>
      <c r="H6" s="46">
        <v>0.99819999999999998</v>
      </c>
      <c r="I6" s="50">
        <v>0.99560000000000004</v>
      </c>
    </row>
    <row r="7" spans="1:10" ht="15" thickTop="1" x14ac:dyDescent="0.3"/>
  </sheetData>
  <mergeCells count="9">
    <mergeCell ref="A1:I1"/>
    <mergeCell ref="A2:A3"/>
    <mergeCell ref="G2:G3"/>
    <mergeCell ref="F2:F3"/>
    <mergeCell ref="E2:E3"/>
    <mergeCell ref="D2:D3"/>
    <mergeCell ref="C2:C3"/>
    <mergeCell ref="B2:B3"/>
    <mergeCell ref="H2:I2"/>
  </mergeCells>
  <conditionalFormatting sqref="A4:A6">
    <cfRule type="cellIs" dxfId="1" priority="1" operator="lessThan">
      <formula>4</formula>
    </cfRule>
    <cfRule type="cellIs" dxfId="0" priority="2" operator="greaterThan">
      <formula>15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CBR - Estudo</vt:lpstr>
      <vt:lpstr>RN - Estudo Geral</vt:lpstr>
      <vt:lpstr>RN - Normalizacao</vt:lpstr>
      <vt:lpstr>RN - 3 Melhores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Ferreira Reis Eça</dc:creator>
  <cp:lastModifiedBy>Guilherme Ferreira Reis Eça</cp:lastModifiedBy>
  <dcterms:created xsi:type="dcterms:W3CDTF">2026-05-02T10:45:26Z</dcterms:created>
  <dcterms:modified xsi:type="dcterms:W3CDTF">2026-05-10T17:43:31Z</dcterms:modified>
</cp:coreProperties>
</file>